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旭达" sheetId="1" r:id="rId1"/>
    <sheet name="毅兴" sheetId="2" r:id="rId2"/>
  </sheets>
  <definedNames>
    <definedName name="_xlnm._FilterDatabase" localSheetId="0" hidden="1">旭达!$A$1:$G$82</definedName>
    <definedName name="_xlnm._FilterDatabase" localSheetId="1" hidden="1">毅兴!$A$1:$G$52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<sst xmlns="http://schemas.openxmlformats.org/spreadsheetml/2006/main" count="246" uniqueCount="156">
  <si>
    <t>公司名称</t>
  </si>
  <si>
    <t>开票时间</t>
  </si>
  <si>
    <t>项目名称</t>
  </si>
  <si>
    <t>金额</t>
  </si>
  <si>
    <t>汇入金额</t>
  </si>
  <si>
    <t>余额</t>
  </si>
  <si>
    <t>大写</t>
  </si>
  <si>
    <t>备注</t>
  </si>
  <si>
    <t>合计</t>
  </si>
  <si>
    <t>浙江夏宝电器有限公司</t>
  </si>
  <si>
    <t>华恒建设集团有限公司</t>
  </si>
  <si>
    <t>浙江泰阳建设集团有限公司</t>
  </si>
  <si>
    <t>中科盛博建设集团有限公司</t>
  </si>
  <si>
    <t>慈溪通达建设有限公司</t>
  </si>
  <si>
    <t>慈溪城关建筑有限公司</t>
  </si>
  <si>
    <t xml:space="preserve">
慈溪市新城河46-c地块</t>
  </si>
  <si>
    <t>慈溪市新城河46-c地块</t>
  </si>
  <si>
    <t>象山宏强电气制造有限公司</t>
  </si>
  <si>
    <t>宁波庆丰建设有限公司</t>
  </si>
  <si>
    <t>浙江衢和建设有限公司</t>
  </si>
  <si>
    <t xml:space="preserve">平水四丰区块安置建设工程
</t>
  </si>
  <si>
    <t>杭州仲宏建设工程有限公司</t>
  </si>
  <si>
    <t xml:space="preserve">中铁十一局集团有限公司宁波市轨道交通6号线一期工程SG6110标段施工项目桥梁拆复建工程
</t>
  </si>
  <si>
    <t xml:space="preserve">
</t>
  </si>
  <si>
    <t>余姚市江林建筑工程有限公司</t>
  </si>
  <si>
    <t>象山人民医院泡沫砼</t>
  </si>
  <si>
    <t>华锦建设集团股份有限公司</t>
  </si>
  <si>
    <t xml:space="preserve">浙江宁塑机械制造有限公司注塑机整机生产项目
</t>
  </si>
  <si>
    <t>年产二十五万台环保节能智能型空调生产线（厂房三）建设项目</t>
  </si>
  <si>
    <t>浙江良和交通建设有限公司</t>
  </si>
  <si>
    <t xml:space="preserve">G527石浦至长街段（岳井洋大桥及接线）象山段第1标段工程
</t>
  </si>
  <si>
    <t>宁波市路航建设工程有限公司</t>
  </si>
  <si>
    <t xml:space="preserve">科兴路东延工程（余姚段）二期                                                            
</t>
  </si>
  <si>
    <t xml:space="preserve">宁海县跃龙街道原客运总站周边地块项目工程
</t>
  </si>
  <si>
    <t xml:space="preserve">鄞州区YZ07-03-h3(钟公庙地段）地块项目工程总承包
</t>
  </si>
  <si>
    <t>宁波中科智体文化传媒有限公司</t>
  </si>
  <si>
    <t xml:space="preserve">海曙区大卿桥1-1号地块
</t>
  </si>
  <si>
    <t xml:space="preserve">海曙区大卿桥1-1地块
</t>
  </si>
  <si>
    <t>浙江南自建设集团有限公司</t>
  </si>
  <si>
    <t xml:space="preserve">象山县第一人民医院医疗改扩建工程（黄避岙分院新建医疗综合用房及附属配套设施）
</t>
  </si>
  <si>
    <t>宁波凯立方基础工程有限公司</t>
  </si>
  <si>
    <t xml:space="preserve">慈溪杭湾金融港综合开发配套基础设施一期工程TJ-1项目
</t>
  </si>
  <si>
    <t>浙江宏港建设有限公司</t>
  </si>
  <si>
    <t>宁波为昂工程建设有限公司</t>
  </si>
  <si>
    <t>年产100吨抹茶精制线建设项目</t>
  </si>
  <si>
    <t>宁波宏凯生态建设有限公司</t>
  </si>
  <si>
    <t>浙江省围海建设集团股份有限公司</t>
  </si>
  <si>
    <t xml:space="preserve">宁海县东部沿海防洪排涝工程-园山闸站、松岙闸站整治工程（园山闸站）                              
</t>
  </si>
  <si>
    <t>今天建设有限公司</t>
  </si>
  <si>
    <t xml:space="preserve">9号地块保障性租赁住房项目
</t>
  </si>
  <si>
    <t>浙江万华建设有限公司</t>
  </si>
  <si>
    <t xml:space="preserve">海曙区集士港镇元禾村新村建设项目
</t>
  </si>
  <si>
    <t>杭州市市政工程集团有限公司</t>
  </si>
  <si>
    <t xml:space="preserve">宁波市资源循环利用基地污水处理厂建设工程土建
</t>
  </si>
  <si>
    <t>慈溪高新区保障性租赁住房项目</t>
  </si>
  <si>
    <t>浙江九鑫建设有限公司</t>
  </si>
  <si>
    <t>年产10万套医疗器械升降手臂安装工程项目</t>
  </si>
  <si>
    <t>浙江凯厦装饰工程有限公司</t>
  </si>
  <si>
    <t xml:space="preserve">G527石浦至长街段（岳井洋大桥及接线）象山段第1标段工程
 </t>
  </si>
  <si>
    <t>慈溪龙山伏龙书院项目</t>
  </si>
  <si>
    <t>浙江甬星建设有限公司</t>
  </si>
  <si>
    <t>宁波市鄞州区前殷区块初中建设项目</t>
  </si>
  <si>
    <t>打工资 已结清</t>
  </si>
  <si>
    <t>宁波臻业建材有限公司</t>
  </si>
  <si>
    <t>宁波港峰交通建设有限公司</t>
  </si>
  <si>
    <t xml:space="preserve">G527石浦至长街段岳井洋大桥及接线象山段第2标段-路基及附属工程
</t>
  </si>
  <si>
    <t>浙江嘉莉建设工程有限公司</t>
  </si>
  <si>
    <t>慈溪市宇超建筑工程有限公司</t>
  </si>
  <si>
    <t>宏润建设集团股份有限公司</t>
  </si>
  <si>
    <t>象山县西周镇昌明路（昌平路至纬五路）道路工程</t>
  </si>
  <si>
    <t>象山宝盛建设有限公司</t>
  </si>
  <si>
    <t>象山县石浦镇金山路(曙光路~白云路)道路工程</t>
  </si>
  <si>
    <t>浙江金能建设有限公司</t>
  </si>
  <si>
    <t>象山县殡仪馆改扩建工程(一期)</t>
  </si>
  <si>
    <t>宁波市资源循环利用基地污水处理厂建设工程土建</t>
  </si>
  <si>
    <t>中铁五洲第二工程有限公司</t>
  </si>
  <si>
    <t>G15沈海高速宁波西坞至麻岙岭段改扩建工程第TJ-6标段</t>
  </si>
  <si>
    <r>
      <rPr>
        <sz val="10"/>
        <color theme="1"/>
        <rFont val="宋体"/>
        <charset val="134"/>
        <scheme val="major"/>
      </rPr>
      <t xml:space="preserve">多开 剩余卖出
</t>
    </r>
    <r>
      <rPr>
        <sz val="10"/>
        <color theme="0" tint="-0.15"/>
        <rFont val="宋体"/>
        <charset val="134"/>
        <scheme val="major"/>
      </rPr>
      <t>转102840明程路桥建材</t>
    </r>
  </si>
  <si>
    <t>浙江联仓建设集团有限公司</t>
  </si>
  <si>
    <t>星光路(大东江西-剑兰路)</t>
  </si>
  <si>
    <t>工资已打61500</t>
  </si>
  <si>
    <t>宁波博冠建材有限公司</t>
  </si>
  <si>
    <t>黄沙</t>
  </si>
  <si>
    <t>抚州得鑫建设工程有限公司</t>
  </si>
  <si>
    <t>象山县定塘连接线至石浦皇城大道及延伸段公路工程</t>
  </si>
  <si>
    <t>浙江虹星建设工程有限公司</t>
  </si>
  <si>
    <t>年产30吨汽车零部件项目</t>
  </si>
  <si>
    <t>浙江东卓地坪工程有限公司</t>
  </si>
  <si>
    <t>余姚江南里地下室泡沫混凝土地坪工程</t>
  </si>
  <si>
    <t>宁波华冶建筑工程技术有限公司</t>
  </si>
  <si>
    <t>九峰海洋生态建设集团有限公司</t>
  </si>
  <si>
    <t>宁波高新区贵驷综合配套项目（东区1）</t>
  </si>
  <si>
    <t>宁波高新区贵驷综合配套项目（西区）</t>
  </si>
  <si>
    <t>宁波市江北区第一建筑安装工程有限公司</t>
  </si>
  <si>
    <t xml:space="preserve">年产1000万只医疗试剂盒生产项目（宁波赛克生物技术有限公司工业用房项目）
</t>
  </si>
  <si>
    <t>私账 已转给老大</t>
  </si>
  <si>
    <t>江苏金堰交通工程有限公司</t>
  </si>
  <si>
    <t xml:space="preserve"> 余姚市城西工业园区配套道路一期隧道连接段新建工程</t>
  </si>
  <si>
    <t>G228丹东线K3685+985-K3687+994华昌路-黄竹线路段路面提升工程</t>
  </si>
  <si>
    <t>中设建工集团有限公司</t>
  </si>
  <si>
    <t>轻纺智谷数字工业园区建设项目（二期工程）</t>
  </si>
  <si>
    <t>总额：40*15003=600120 实际：31*15003=465093 转出：9*15003=135027 已转6w元</t>
  </si>
  <si>
    <t>浙江韵楠建设有限公司</t>
  </si>
  <si>
    <t>余姚市第四中心粮库(粮食应急保障中心)新建工程</t>
  </si>
  <si>
    <t>李曙光</t>
  </si>
  <si>
    <t>杭州奉鸣科技有限公司</t>
  </si>
  <si>
    <t>浙江泓策佳业建设有限公司</t>
  </si>
  <si>
    <t>:海宁市沪明塑钢有限公司新建4#车间项目</t>
  </si>
  <si>
    <t>象山县大目湾润泽路、金井路、智成路道路工程-I标段润泽路(后陈西路-松兰大道)</t>
  </si>
  <si>
    <t>多开 剩余卖出 
实际金额为125268 剩余152.2</t>
  </si>
  <si>
    <t>海达建设集团有限公司</t>
  </si>
  <si>
    <t>商住用房建设项目(北姚江路北侧、云晖路西侧地块)</t>
  </si>
  <si>
    <t>浙江锦汉建设有限公司</t>
  </si>
  <si>
    <t xml:space="preserve"> 象山县定塘连接线至石浦皇城大道公路工程二工区</t>
  </si>
  <si>
    <t>剩余40%未开 45056元</t>
  </si>
  <si>
    <t>浙江镜湖建设集团有限公司</t>
  </si>
  <si>
    <t>育才路北延（禹会路-上方山大道）道路新建工程Ⅱ标</t>
  </si>
  <si>
    <t>福全拆迁安置项目〈金三角区块城市更新〉（FQ-023-03、FQ-023-011地块）</t>
  </si>
  <si>
    <t>浙江巨能电力建设有限公司</t>
  </si>
  <si>
    <t xml:space="preserve">7500*19.5=146250 </t>
  </si>
  <si>
    <t>宁波赫宸建设有限公司</t>
  </si>
  <si>
    <t xml:space="preserve">   </t>
  </si>
  <si>
    <t>浙江中富建筑集团股份有限公司</t>
  </si>
  <si>
    <t xml:space="preserve">上虞区滨江新城1 7 -A地块新承大厦建设工程
</t>
  </si>
  <si>
    <t>浙江科宏建设有限公司</t>
  </si>
  <si>
    <t>东钱湖生命医学健康中心</t>
  </si>
  <si>
    <t>浙江宁慈建设工程有限公司</t>
  </si>
  <si>
    <t xml:space="preserve">明祥路（明海路-海祥路）道路工程   
</t>
  </si>
  <si>
    <t>宁波中茂工程技术有限公司</t>
  </si>
  <si>
    <t>宁波信天建设有限公司</t>
  </si>
  <si>
    <t xml:space="preserve">鄞州经济开发区电力配套建设项目(鄞州段)一联胜路、钱春大道道路恢复工程   
</t>
  </si>
  <si>
    <t>安徽坤瑞恒建设工程有限公司</t>
  </si>
  <si>
    <t xml:space="preserve">MAX科技园（杭州·钱塘）标准厂房项目一标段泡沫混凝土工程
</t>
  </si>
  <si>
    <t xml:space="preserve">戚隘桥3#商业地块Ⅱ标段 
</t>
  </si>
  <si>
    <t>中天建设集团有限公司</t>
  </si>
  <si>
    <t xml:space="preserve">宁东新城22-H地块路网配套工程二期
</t>
  </si>
  <si>
    <t xml:space="preserve">宁波高新区贵驷综合配套项目（西区）
</t>
  </si>
  <si>
    <t xml:space="preserve">宁波高新区凌智产业园工程
</t>
  </si>
  <si>
    <t>宁波市天马生态建设有限公司</t>
  </si>
  <si>
    <t xml:space="preserve">宁波高新区贵驷综合配套项目（东区2）
</t>
  </si>
  <si>
    <t>浙江沧海建设有限公司</t>
  </si>
  <si>
    <t xml:space="preserve">原舜龙丰山电厂地块-其他服务设施用房项目
</t>
  </si>
  <si>
    <t>宁波锦佳建设有限公司</t>
  </si>
  <si>
    <t>宁波至慈溪市域（郊）铁路工程SGCX01标段拆复桥工程</t>
  </si>
  <si>
    <t>浙江大虞建设有限公司</t>
  </si>
  <si>
    <t>宁波市剑锋工程建设有限公司</t>
  </si>
  <si>
    <t>宁波市轨道交通8号线一期土建工程TJ8113标拆复桥工程</t>
  </si>
  <si>
    <t>浙江天苑景观建设有限公司</t>
  </si>
  <si>
    <t>宁波高新区艾瑞斯科技智慧医疗产业园项目</t>
  </si>
  <si>
    <t>宁波金地建设有限公司</t>
  </si>
  <si>
    <t>明州经济开发区纵二路（横一路-鄞城大道）道路工程项目</t>
  </si>
  <si>
    <t>上海众储建筑工程有限公司</t>
  </si>
  <si>
    <t>杭州地铁18-12标九昌路站</t>
  </si>
  <si>
    <t>宁波鄞州曼哈顿大厦工程</t>
  </si>
  <si>
    <t xml:space="preserve"> 宁波高新区维尔凯迪微创外科器械扩产项目</t>
  </si>
  <si>
    <t>象山县海塘安澜及配套设施综合改造提升工程二期--金石海塘改造提升工程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</si>
</sst>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DBNum2][$RMB]General;[Red][DBNum2][$RMB]General"/>
    <numFmt numFmtId="178" formatCode="[DBNum2][$-804]General"/>
  </numFmts>
  <fonts count="3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b/>
      <sz val="16"/>
      <name val="宋体"/>
      <charset val="134"/>
      <scheme val="major"/>
    </font>
    <font>
      <sz val="10"/>
      <color theme="9"/>
      <name val="宋体"/>
      <charset val="134"/>
      <scheme val="major"/>
    </font>
    <font>
      <sz val="10"/>
      <color theme="0" tint="-0.25"/>
      <name val="宋体"/>
      <charset val="134"/>
      <scheme val="major"/>
    </font>
    <font>
      <sz val="10"/>
      <name val="宋体"/>
      <charset val="134"/>
      <scheme val="major"/>
    </font>
    <font>
      <sz val="10"/>
      <color theme="0" tint="-0.15"/>
      <name val="宋体"/>
      <charset val="134"/>
      <scheme val="major"/>
    </font>
    <font>
      <sz val="10"/>
      <color rgb="FF92D050"/>
      <name val="宋体"/>
      <charset val="134"/>
      <scheme val="major"/>
    </font>
    <font>
      <sz val="10"/>
      <color theme="4" tint="0.6"/>
      <name val="宋体"/>
      <charset val="134"/>
      <scheme val="major"/>
    </font>
    <font>
      <b/>
      <sz val="20"/>
      <name val="宋体"/>
      <charset val="134"/>
      <scheme val="major"/>
    </font>
    <font>
      <sz val="10"/>
      <color theme="9" tint="0.4"/>
      <name val="宋体"/>
      <charset val="134"/>
      <scheme val="major"/>
    </font>
    <font>
      <sz val="10"/>
      <color rgb="FFFF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2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23">
      <alignment vertical="center"/>
    </xf>
    <xf numFmtId="0" fontId="19" fillId="0" borderId="23">
      <alignment vertical="center"/>
    </xf>
    <xf numFmtId="0" fontId="20" fillId="0" borderId="24">
      <alignment vertical="center"/>
    </xf>
    <xf numFmtId="0" fontId="20" fillId="0" borderId="0">
      <alignment vertical="center"/>
    </xf>
    <xf numFmtId="0" fontId="21" fillId="7" borderId="25">
      <alignment vertical="center"/>
    </xf>
    <xf numFmtId="0" fontId="22" fillId="8" borderId="26">
      <alignment vertical="center"/>
    </xf>
    <xf numFmtId="0" fontId="23" fillId="8" borderId="25">
      <alignment vertical="center"/>
    </xf>
    <xf numFmtId="0" fontId="24" fillId="9" borderId="27">
      <alignment vertical="center"/>
    </xf>
    <xf numFmtId="0" fontId="25" fillId="0" borderId="28">
      <alignment vertical="center"/>
    </xf>
    <xf numFmtId="0" fontId="26" fillId="0" borderId="29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</cellStyleXfs>
  <cellXfs count="1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2" fillId="0" borderId="2" xfId="0" applyNumberFormat="1" applyFont="1" applyBorder="1" applyAlignment="1">
      <alignment horizontal="center" vertical="center"/>
    </xf>
    <xf numFmtId="44" fontId="4" fillId="0" borderId="2" xfId="0" applyNumberFormat="1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44" fontId="6" fillId="0" borderId="5" xfId="0" applyNumberFormat="1" applyFont="1" applyFill="1" applyBorder="1" applyAlignment="1">
      <alignment horizontal="center" vertical="center"/>
    </xf>
    <xf numFmtId="44" fontId="2" fillId="0" borderId="5" xfId="0" applyNumberFormat="1" applyFont="1" applyFill="1" applyBorder="1" applyAlignment="1">
      <alignment horizontal="center" vertical="center"/>
    </xf>
    <xf numFmtId="44" fontId="4" fillId="0" borderId="5" xfId="0" applyNumberFormat="1" applyFont="1" applyFill="1" applyBorder="1" applyAlignment="1">
      <alignment horizontal="center" vertical="center"/>
    </xf>
    <xf numFmtId="177" fontId="5" fillId="0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4" fontId="6" fillId="2" borderId="0" xfId="0" applyNumberFormat="1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177" fontId="5" fillId="2" borderId="8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4" fontId="6" fillId="0" borderId="0" xfId="0" applyNumberFormat="1" applyFont="1" applyFill="1" applyAlignment="1">
      <alignment horizontal="center" vertical="center"/>
    </xf>
    <xf numFmtId="44" fontId="2" fillId="0" borderId="0" xfId="0" applyNumberFormat="1" applyFont="1" applyFill="1" applyAlignment="1">
      <alignment horizontal="center" vertical="center"/>
    </xf>
    <xf numFmtId="44" fontId="4" fillId="0" borderId="0" xfId="0" applyNumberFormat="1" applyFont="1" applyFill="1" applyAlignment="1">
      <alignment horizontal="center" vertical="center"/>
    </xf>
    <xf numFmtId="177" fontId="5" fillId="0" borderId="8" xfId="0" applyNumberFormat="1" applyFont="1" applyFill="1" applyBorder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4" fontId="6" fillId="3" borderId="0" xfId="0" applyNumberFormat="1" applyFont="1" applyFill="1" applyAlignment="1">
      <alignment horizontal="center" vertical="center"/>
    </xf>
    <xf numFmtId="44" fontId="2" fillId="3" borderId="0" xfId="0" applyNumberFormat="1" applyFont="1" applyFill="1" applyAlignment="1">
      <alignment horizontal="center" vertical="center"/>
    </xf>
    <xf numFmtId="44" fontId="4" fillId="3" borderId="0" xfId="0" applyNumberFormat="1" applyFont="1" applyFill="1" applyAlignment="1">
      <alignment horizontal="center" vertical="center"/>
    </xf>
    <xf numFmtId="177" fontId="5" fillId="3" borderId="8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176" fontId="6" fillId="0" borderId="10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44" fontId="6" fillId="0" borderId="10" xfId="0" applyNumberFormat="1" applyFont="1" applyFill="1" applyBorder="1" applyAlignment="1">
      <alignment horizontal="center" vertical="center"/>
    </xf>
    <xf numFmtId="44" fontId="2" fillId="0" borderId="10" xfId="0" applyNumberFormat="1" applyFont="1" applyBorder="1" applyAlignment="1">
      <alignment horizontal="center" vertical="center"/>
    </xf>
    <xf numFmtId="44" fontId="4" fillId="0" borderId="10" xfId="0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2" fillId="0" borderId="5" xfId="0" applyNumberFormat="1" applyFont="1" applyBorder="1" applyAlignment="1">
      <alignment horizontal="center" vertical="center"/>
    </xf>
    <xf numFmtId="44" fontId="4" fillId="0" borderId="5" xfId="0" applyNumberFormat="1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44" fontId="2" fillId="0" borderId="10" xfId="0" applyNumberFormat="1" applyFont="1" applyFill="1" applyBorder="1" applyAlignment="1">
      <alignment horizontal="center" vertical="center"/>
    </xf>
    <xf numFmtId="44" fontId="4" fillId="0" borderId="10" xfId="0" applyNumberFormat="1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4" fontId="2" fillId="0" borderId="13" xfId="0" applyNumberFormat="1" applyFont="1" applyBorder="1" applyAlignment="1">
      <alignment horizontal="center" vertical="center"/>
    </xf>
    <xf numFmtId="44" fontId="4" fillId="0" borderId="1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4" fontId="7" fillId="0" borderId="0" xfId="0" applyNumberFormat="1" applyFont="1" applyFill="1" applyBorder="1" applyAlignment="1">
      <alignment horizontal="center" vertical="center"/>
    </xf>
    <xf numFmtId="178" fontId="7" fillId="0" borderId="16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176" fontId="6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44" fontId="6" fillId="4" borderId="0" xfId="0" applyNumberFormat="1" applyFont="1" applyFill="1" applyBorder="1" applyAlignment="1">
      <alignment horizontal="center" vertical="center"/>
    </xf>
    <xf numFmtId="44" fontId="2" fillId="4" borderId="0" xfId="0" applyNumberFormat="1" applyFont="1" applyFill="1" applyBorder="1" applyAlignment="1">
      <alignment horizontal="center" vertical="center" wrapText="1"/>
    </xf>
    <xf numFmtId="44" fontId="4" fillId="4" borderId="0" xfId="0" applyNumberFormat="1" applyFont="1" applyFill="1" applyBorder="1" applyAlignment="1">
      <alignment horizontal="center" vertical="center"/>
    </xf>
    <xf numFmtId="178" fontId="5" fillId="4" borderId="16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44" fontId="6" fillId="0" borderId="0" xfId="0" applyNumberFormat="1" applyFont="1" applyFill="1" applyBorder="1" applyAlignment="1">
      <alignment horizontal="center" vertical="center"/>
    </xf>
    <xf numFmtId="44" fontId="2" fillId="0" borderId="0" xfId="0" applyNumberFormat="1" applyFont="1" applyBorder="1" applyAlignment="1">
      <alignment horizontal="center" vertical="center"/>
    </xf>
    <xf numFmtId="44" fontId="4" fillId="0" borderId="0" xfId="0" applyNumberFormat="1" applyFont="1" applyBorder="1" applyAlignment="1">
      <alignment horizontal="center" vertical="center"/>
    </xf>
    <xf numFmtId="178" fontId="5" fillId="0" borderId="16" xfId="0" applyNumberFormat="1" applyFont="1" applyBorder="1" applyAlignment="1">
      <alignment horizontal="center" vertical="center"/>
    </xf>
    <xf numFmtId="44" fontId="7" fillId="0" borderId="0" xfId="0" applyNumberFormat="1" applyFont="1" applyBorder="1" applyAlignment="1">
      <alignment horizontal="center" vertical="center"/>
    </xf>
    <xf numFmtId="178" fontId="7" fillId="0" borderId="1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44" fontId="2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44" fontId="7" fillId="0" borderId="0" xfId="0" applyNumberFormat="1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176" fontId="6" fillId="5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44" fontId="6" fillId="5" borderId="0" xfId="0" applyNumberFormat="1" applyFont="1" applyFill="1" applyBorder="1" applyAlignment="1">
      <alignment horizontal="center" vertical="center"/>
    </xf>
    <xf numFmtId="44" fontId="2" fillId="5" borderId="0" xfId="0" applyNumberFormat="1" applyFont="1" applyFill="1" applyBorder="1" applyAlignment="1">
      <alignment horizontal="center" vertical="center"/>
    </xf>
    <xf numFmtId="44" fontId="4" fillId="5" borderId="0" xfId="0" applyNumberFormat="1" applyFont="1" applyFill="1" applyBorder="1" applyAlignment="1">
      <alignment horizontal="center" vertical="center"/>
    </xf>
    <xf numFmtId="178" fontId="5" fillId="5" borderId="16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44" fontId="2" fillId="0" borderId="0" xfId="0" applyNumberFormat="1" applyFont="1" applyFill="1" applyBorder="1" applyAlignment="1">
      <alignment horizontal="center" vertical="center"/>
    </xf>
    <xf numFmtId="44" fontId="4" fillId="0" borderId="0" xfId="0" applyNumberFormat="1" applyFont="1" applyFill="1" applyBorder="1" applyAlignment="1">
      <alignment horizontal="center" vertical="center"/>
    </xf>
    <xf numFmtId="178" fontId="5" fillId="0" borderId="16" xfId="0" applyNumberFormat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44" fontId="8" fillId="0" borderId="0" xfId="0" applyNumberFormat="1" applyFont="1" applyFill="1" applyBorder="1" applyAlignment="1">
      <alignment horizontal="center" vertical="center"/>
    </xf>
    <xf numFmtId="178" fontId="8" fillId="0" borderId="16" xfId="0" applyNumberFormat="1" applyFont="1" applyFill="1" applyBorder="1" applyAlignment="1">
      <alignment horizontal="center" vertical="center"/>
    </xf>
    <xf numFmtId="44" fontId="2" fillId="0" borderId="0" xfId="0" applyNumberFormat="1" applyFont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/>
    </xf>
    <xf numFmtId="176" fontId="6" fillId="0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4" fontId="6" fillId="0" borderId="20" xfId="0" applyNumberFormat="1" applyFont="1" applyFill="1" applyBorder="1" applyAlignment="1">
      <alignment horizontal="center" vertical="center"/>
    </xf>
    <xf numFmtId="44" fontId="2" fillId="0" borderId="20" xfId="0" applyNumberFormat="1" applyFont="1" applyBorder="1" applyAlignment="1">
      <alignment horizontal="center" vertical="center"/>
    </xf>
    <xf numFmtId="44" fontId="4" fillId="0" borderId="20" xfId="0" applyNumberFormat="1" applyFont="1" applyBorder="1" applyAlignment="1">
      <alignment horizontal="center" vertical="center"/>
    </xf>
    <xf numFmtId="178" fontId="5" fillId="0" borderId="21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76" fontId="2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4" fontId="11" fillId="0" borderId="0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176" fontId="2" fillId="0" borderId="20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44" fontId="2" fillId="4" borderId="0" xfId="0" applyNumberFormat="1" applyFont="1" applyFill="1" applyAlignment="1">
      <alignment horizontal="center" vertical="center"/>
    </xf>
    <xf numFmtId="44" fontId="12" fillId="4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44" fontId="12" fillId="0" borderId="0" xfId="0" applyNumberFormat="1" applyFont="1" applyFill="1" applyBorder="1" applyAlignment="1">
      <alignment horizontal="center" vertical="center"/>
    </xf>
    <xf numFmtId="44" fontId="7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0"/>
  <sheetViews>
    <sheetView topLeftCell="A72" workbookViewId="0">
      <selection activeCell="F87" sqref="F87"/>
    </sheetView>
  </sheetViews>
  <sheetFormatPr defaultColWidth="9" defaultRowHeight="12"/>
  <cols>
    <col min="1" max="1" width="36" style="2" customWidth="1"/>
    <col min="2" max="2" width="15.625" style="4"/>
    <col min="3" max="3" width="48" style="2" customWidth="1"/>
    <col min="4" max="4" width="15.875" style="5"/>
    <col min="5" max="5" width="16.375" style="5"/>
    <col min="6" max="6" width="14.75" style="36"/>
    <col min="7" max="7" width="27" style="75" customWidth="1"/>
    <col min="8" max="8" width="26.25" style="2" customWidth="1"/>
    <col min="9" max="9" width="9.25" style="76"/>
    <col min="10" max="16384" width="9" style="2"/>
  </cols>
  <sheetData>
    <row r="1" ht="26.25" spans="1:9">
      <c r="A1" s="77">
        <v>2024</v>
      </c>
      <c r="B1" s="77"/>
      <c r="C1" s="77"/>
      <c r="D1" s="77"/>
      <c r="E1" s="77"/>
      <c r="F1" s="77"/>
      <c r="G1" s="77"/>
    </row>
    <row r="2" ht="20" customHeight="1" spans="1:9">
      <c r="A2" s="78" t="s">
        <v>0</v>
      </c>
      <c r="B2" s="79" t="s">
        <v>1</v>
      </c>
      <c r="C2" s="80" t="s">
        <v>2</v>
      </c>
      <c r="D2" s="81" t="s">
        <v>3</v>
      </c>
      <c r="E2" s="81" t="s">
        <v>4</v>
      </c>
      <c r="F2" s="82" t="s">
        <v>5</v>
      </c>
      <c r="G2" s="83" t="s">
        <v>6</v>
      </c>
      <c r="H2" s="78" t="s">
        <v>7</v>
      </c>
      <c r="I2" s="84" t="s">
        <v>8</v>
      </c>
    </row>
    <row r="3" s="72" customFormat="1" ht="25" customHeight="1" spans="1:9">
      <c r="A3" s="85" t="s">
        <v>9</v>
      </c>
      <c r="B3" s="86">
        <v>45306.7682060185</v>
      </c>
      <c r="C3" s="87"/>
      <c r="D3" s="88">
        <v>34080</v>
      </c>
      <c r="E3" s="88">
        <v>34080</v>
      </c>
      <c r="F3" s="88">
        <f t="shared" ref="F3:F8" si="0">D3-E3</f>
        <v>0</v>
      </c>
      <c r="G3" s="89">
        <f t="shared" ref="G3:G9" si="1">F3</f>
        <v>0</v>
      </c>
      <c r="H3" s="90"/>
      <c r="I3" s="91">
        <f>SUM(E4:E7,E10:E11,E13,E15:E17,E19,E21:E22,E24:E25,E27)</f>
        <v>191560</v>
      </c>
    </row>
    <row r="4" ht="25" customHeight="1" spans="1:9">
      <c r="A4" s="92" t="s">
        <v>10</v>
      </c>
      <c r="B4" s="93">
        <v>45310.456724537</v>
      </c>
      <c r="C4" s="94"/>
      <c r="D4" s="95">
        <v>18300</v>
      </c>
      <c r="E4" s="96">
        <v>13800</v>
      </c>
      <c r="F4" s="97">
        <f t="shared" si="0"/>
        <v>4500</v>
      </c>
      <c r="G4" s="98">
        <f t="shared" si="1"/>
        <v>4500</v>
      </c>
      <c r="H4" s="99"/>
      <c r="I4" s="100"/>
    </row>
    <row r="5" ht="25" customHeight="1" spans="1:9">
      <c r="A5" s="101" t="s">
        <v>11</v>
      </c>
      <c r="B5" s="102">
        <v>45310.4569444444</v>
      </c>
      <c r="C5" s="103"/>
      <c r="D5" s="104">
        <v>10540</v>
      </c>
      <c r="E5" s="105">
        <v>10540</v>
      </c>
      <c r="F5" s="106">
        <f t="shared" si="0"/>
        <v>0</v>
      </c>
      <c r="G5" s="107">
        <f t="shared" si="1"/>
        <v>0</v>
      </c>
      <c r="H5" s="99"/>
      <c r="I5" s="100"/>
    </row>
    <row r="6" ht="25" customHeight="1" spans="1:9">
      <c r="A6" s="101" t="s">
        <v>12</v>
      </c>
      <c r="B6" s="102">
        <v>45310.4573611111</v>
      </c>
      <c r="C6" s="103"/>
      <c r="D6" s="104">
        <v>11110</v>
      </c>
      <c r="E6" s="105">
        <v>11110</v>
      </c>
      <c r="F6" s="106">
        <f t="shared" si="0"/>
        <v>0</v>
      </c>
      <c r="G6" s="107">
        <f t="shared" si="1"/>
        <v>0</v>
      </c>
      <c r="H6" s="99"/>
      <c r="I6" s="100"/>
    </row>
    <row r="7" ht="25" customHeight="1" spans="1:9">
      <c r="A7" s="101" t="s">
        <v>13</v>
      </c>
      <c r="B7" s="102">
        <v>45310.4724652778</v>
      </c>
      <c r="C7" s="103"/>
      <c r="D7" s="104">
        <v>8000</v>
      </c>
      <c r="E7" s="105">
        <v>8000</v>
      </c>
      <c r="F7" s="106">
        <f t="shared" si="0"/>
        <v>0</v>
      </c>
      <c r="G7" s="107">
        <f t="shared" si="1"/>
        <v>0</v>
      </c>
      <c r="H7" s="99"/>
      <c r="I7" s="100"/>
    </row>
    <row r="8" s="72" customFormat="1" ht="25" customHeight="1" spans="1:9">
      <c r="A8" s="85" t="s">
        <v>14</v>
      </c>
      <c r="B8" s="86">
        <v>45310.4941782407</v>
      </c>
      <c r="C8" s="87" t="s">
        <v>15</v>
      </c>
      <c r="D8" s="88">
        <v>15000</v>
      </c>
      <c r="E8" s="108">
        <v>39000</v>
      </c>
      <c r="F8" s="108">
        <f>SUM(D8:D9)-E8</f>
        <v>0</v>
      </c>
      <c r="G8" s="109">
        <f t="shared" si="1"/>
        <v>0</v>
      </c>
      <c r="H8" s="110"/>
      <c r="I8" s="100"/>
    </row>
    <row r="9" s="72" customFormat="1" ht="25" customHeight="1" spans="1:9">
      <c r="A9" s="85" t="s">
        <v>14</v>
      </c>
      <c r="B9" s="86">
        <v>45310.4941782407</v>
      </c>
      <c r="C9" s="87" t="s">
        <v>16</v>
      </c>
      <c r="D9" s="88">
        <v>24000</v>
      </c>
      <c r="E9" s="108"/>
      <c r="F9" s="108"/>
      <c r="G9" s="109"/>
      <c r="H9" s="110"/>
      <c r="I9" s="100"/>
    </row>
    <row r="10" ht="25" customHeight="1" spans="1:9">
      <c r="A10" s="92" t="s">
        <v>17</v>
      </c>
      <c r="B10" s="93">
        <v>45317.4507407407</v>
      </c>
      <c r="C10" s="94"/>
      <c r="D10" s="95">
        <v>6000</v>
      </c>
      <c r="E10" s="111">
        <v>0</v>
      </c>
      <c r="F10" s="97">
        <f t="shared" ref="F10:F18" si="2">D10-E10</f>
        <v>6000</v>
      </c>
      <c r="G10" s="98">
        <f t="shared" ref="G10:G27" si="3">F10</f>
        <v>6000</v>
      </c>
      <c r="H10" s="99"/>
      <c r="I10" s="100"/>
    </row>
    <row r="11" ht="25" customHeight="1" spans="1:9">
      <c r="A11" s="101" t="s">
        <v>18</v>
      </c>
      <c r="B11" s="102">
        <v>45317.7804513889</v>
      </c>
      <c r="C11" s="103"/>
      <c r="D11" s="104">
        <v>17000</v>
      </c>
      <c r="E11" s="105">
        <v>17000</v>
      </c>
      <c r="F11" s="106">
        <f t="shared" si="2"/>
        <v>0</v>
      </c>
      <c r="G11" s="107">
        <f t="shared" si="3"/>
        <v>0</v>
      </c>
      <c r="H11" s="99"/>
      <c r="I11" s="100"/>
    </row>
    <row r="12" s="72" customFormat="1" ht="25" customHeight="1" spans="1:9">
      <c r="A12" s="85" t="s">
        <v>19</v>
      </c>
      <c r="B12" s="86">
        <v>45317.7993865741</v>
      </c>
      <c r="C12" s="87" t="s">
        <v>20</v>
      </c>
      <c r="D12" s="88">
        <v>34600</v>
      </c>
      <c r="E12" s="108">
        <v>34600</v>
      </c>
      <c r="F12" s="108">
        <f t="shared" si="2"/>
        <v>0</v>
      </c>
      <c r="G12" s="109">
        <f t="shared" si="3"/>
        <v>0</v>
      </c>
      <c r="H12" s="110"/>
      <c r="I12" s="100"/>
    </row>
    <row r="13" ht="25" customHeight="1" spans="1:9">
      <c r="A13" s="92" t="s">
        <v>21</v>
      </c>
      <c r="B13" s="93">
        <v>45322.4583217593</v>
      </c>
      <c r="C13" s="112" t="s">
        <v>22</v>
      </c>
      <c r="D13" s="95">
        <v>92800</v>
      </c>
      <c r="E13" s="111">
        <v>0</v>
      </c>
      <c r="F13" s="97">
        <f t="shared" si="2"/>
        <v>92800</v>
      </c>
      <c r="G13" s="98">
        <f t="shared" si="3"/>
        <v>92800</v>
      </c>
      <c r="H13" s="99"/>
      <c r="I13" s="100"/>
    </row>
    <row r="14" s="72" customFormat="1" ht="25" customHeight="1" spans="1:9">
      <c r="A14" s="85" t="s">
        <v>14</v>
      </c>
      <c r="B14" s="86">
        <v>45323.8147337963</v>
      </c>
      <c r="C14" s="113" t="s">
        <v>23</v>
      </c>
      <c r="D14" s="88">
        <v>38000</v>
      </c>
      <c r="E14" s="108">
        <v>38000</v>
      </c>
      <c r="F14" s="108">
        <f t="shared" si="2"/>
        <v>0</v>
      </c>
      <c r="G14" s="109">
        <f t="shared" si="3"/>
        <v>0</v>
      </c>
      <c r="H14" s="110"/>
      <c r="I14" s="100"/>
    </row>
    <row r="15" ht="25" customHeight="1" spans="1:9">
      <c r="A15" s="101" t="s">
        <v>24</v>
      </c>
      <c r="B15" s="102">
        <v>45325.7558912037</v>
      </c>
      <c r="C15" s="103"/>
      <c r="D15" s="104">
        <v>69000</v>
      </c>
      <c r="E15" s="105">
        <v>69000</v>
      </c>
      <c r="F15" s="106">
        <f t="shared" si="2"/>
        <v>0</v>
      </c>
      <c r="G15" s="107">
        <f t="shared" si="3"/>
        <v>0</v>
      </c>
      <c r="H15" s="99"/>
      <c r="I15" s="100"/>
    </row>
    <row r="16" ht="25" customHeight="1" spans="1:9">
      <c r="A16" s="101" t="s">
        <v>12</v>
      </c>
      <c r="B16" s="102">
        <v>45408.8316550926</v>
      </c>
      <c r="C16" s="103" t="s">
        <v>25</v>
      </c>
      <c r="D16" s="104">
        <v>11110</v>
      </c>
      <c r="E16" s="105">
        <v>11110</v>
      </c>
      <c r="F16" s="106">
        <f t="shared" si="2"/>
        <v>0</v>
      </c>
      <c r="G16" s="107">
        <f t="shared" si="3"/>
        <v>0</v>
      </c>
      <c r="H16" s="99"/>
      <c r="I16" s="100"/>
    </row>
    <row r="17" ht="25" customHeight="1" spans="1:9">
      <c r="A17" s="92" t="s">
        <v>26</v>
      </c>
      <c r="B17" s="93">
        <v>45435.3710763889</v>
      </c>
      <c r="C17" s="94" t="s">
        <v>27</v>
      </c>
      <c r="D17" s="95">
        <v>18150</v>
      </c>
      <c r="E17" s="111">
        <v>0</v>
      </c>
      <c r="F17" s="97">
        <f t="shared" si="2"/>
        <v>18150</v>
      </c>
      <c r="G17" s="98">
        <f t="shared" si="3"/>
        <v>18150</v>
      </c>
      <c r="H17" s="99"/>
      <c r="I17" s="100"/>
    </row>
    <row r="18" s="73" customFormat="1" ht="25" customHeight="1" spans="1:9">
      <c r="A18" s="85" t="s">
        <v>9</v>
      </c>
      <c r="B18" s="86">
        <v>45476.6613425926</v>
      </c>
      <c r="C18" s="87" t="s">
        <v>28</v>
      </c>
      <c r="D18" s="88">
        <v>276000</v>
      </c>
      <c r="E18" s="114">
        <v>46000</v>
      </c>
      <c r="F18" s="88">
        <f t="shared" si="2"/>
        <v>230000</v>
      </c>
      <c r="G18" s="89">
        <f t="shared" si="3"/>
        <v>230000</v>
      </c>
      <c r="H18" s="85"/>
      <c r="I18" s="100"/>
    </row>
    <row r="19" ht="25" customHeight="1" spans="1:9">
      <c r="A19" s="115" t="s">
        <v>29</v>
      </c>
      <c r="B19" s="116">
        <v>45497.914212963</v>
      </c>
      <c r="C19" s="117" t="s">
        <v>30</v>
      </c>
      <c r="D19" s="118">
        <v>18200</v>
      </c>
      <c r="E19" s="119">
        <v>0</v>
      </c>
      <c r="F19" s="120">
        <v>0</v>
      </c>
      <c r="G19" s="121">
        <f t="shared" si="3"/>
        <v>0</v>
      </c>
      <c r="H19" s="99"/>
      <c r="I19" s="100"/>
    </row>
    <row r="20" s="72" customFormat="1" ht="25" customHeight="1" spans="1:9">
      <c r="A20" s="85" t="s">
        <v>31</v>
      </c>
      <c r="B20" s="86">
        <v>45523.9703356481</v>
      </c>
      <c r="C20" s="113" t="s">
        <v>32</v>
      </c>
      <c r="D20" s="88">
        <v>39358</v>
      </c>
      <c r="E20" s="108">
        <v>39358</v>
      </c>
      <c r="F20" s="108">
        <f t="shared" ref="F20:F27" si="4">D20-E20</f>
        <v>0</v>
      </c>
      <c r="G20" s="109">
        <f t="shared" si="3"/>
        <v>0</v>
      </c>
      <c r="H20" s="110"/>
      <c r="I20" s="100"/>
    </row>
    <row r="21" ht="25" customHeight="1" spans="1:9">
      <c r="A21" s="101" t="s">
        <v>26</v>
      </c>
      <c r="B21" s="102">
        <v>45531.4641319444</v>
      </c>
      <c r="C21" s="122" t="s">
        <v>33</v>
      </c>
      <c r="D21" s="104">
        <v>8000</v>
      </c>
      <c r="E21" s="123">
        <v>8000</v>
      </c>
      <c r="F21" s="124">
        <f t="shared" si="4"/>
        <v>0</v>
      </c>
      <c r="G21" s="125">
        <f t="shared" si="3"/>
        <v>0</v>
      </c>
      <c r="H21" s="99"/>
      <c r="I21" s="100"/>
    </row>
    <row r="22" ht="25" customHeight="1" spans="1:9">
      <c r="A22" s="92" t="s">
        <v>26</v>
      </c>
      <c r="B22" s="93">
        <v>45531.4788773148</v>
      </c>
      <c r="C22" s="94" t="s">
        <v>34</v>
      </c>
      <c r="D22" s="95">
        <v>19920</v>
      </c>
      <c r="E22" s="111">
        <v>0</v>
      </c>
      <c r="F22" s="97">
        <f t="shared" si="4"/>
        <v>19920</v>
      </c>
      <c r="G22" s="98">
        <f t="shared" si="3"/>
        <v>19920</v>
      </c>
      <c r="H22" s="99"/>
      <c r="I22" s="100"/>
    </row>
    <row r="23" s="74" customFormat="1" ht="25" customHeight="1" spans="1:9">
      <c r="A23" s="126" t="s">
        <v>35</v>
      </c>
      <c r="B23" s="127">
        <v>45533.758125</v>
      </c>
      <c r="C23" s="128" t="s">
        <v>36</v>
      </c>
      <c r="D23" s="129">
        <v>15120</v>
      </c>
      <c r="E23" s="129">
        <v>0</v>
      </c>
      <c r="F23" s="129">
        <f t="shared" si="4"/>
        <v>15120</v>
      </c>
      <c r="G23" s="130">
        <f t="shared" si="3"/>
        <v>15120</v>
      </c>
      <c r="H23" s="126"/>
      <c r="I23" s="100"/>
    </row>
    <row r="24" ht="25" customHeight="1" spans="1:9">
      <c r="A24" s="101" t="s">
        <v>35</v>
      </c>
      <c r="B24" s="102">
        <v>45533.9235763889</v>
      </c>
      <c r="C24" s="103" t="s">
        <v>37</v>
      </c>
      <c r="D24" s="104">
        <v>14000</v>
      </c>
      <c r="E24" s="131">
        <v>14000</v>
      </c>
      <c r="F24" s="106">
        <f t="shared" si="4"/>
        <v>0</v>
      </c>
      <c r="G24" s="107">
        <f t="shared" si="3"/>
        <v>0</v>
      </c>
      <c r="H24" s="99"/>
      <c r="I24" s="100"/>
    </row>
    <row r="25" ht="25" customHeight="1" spans="1:9">
      <c r="A25" s="101" t="s">
        <v>38</v>
      </c>
      <c r="B25" s="102">
        <v>45641.9097106481</v>
      </c>
      <c r="C25" s="122" t="s">
        <v>39</v>
      </c>
      <c r="D25" s="104">
        <v>26000</v>
      </c>
      <c r="E25" s="105">
        <v>26000</v>
      </c>
      <c r="F25" s="106">
        <f t="shared" si="4"/>
        <v>0</v>
      </c>
      <c r="G25" s="107">
        <f t="shared" si="3"/>
        <v>0</v>
      </c>
      <c r="H25" s="99"/>
      <c r="I25" s="100"/>
    </row>
    <row r="26" ht="25" customHeight="1" spans="1:9">
      <c r="A26" s="101" t="s">
        <v>40</v>
      </c>
      <c r="B26" s="102">
        <v>45656.6246759259</v>
      </c>
      <c r="C26" s="103" t="s">
        <v>41</v>
      </c>
      <c r="D26" s="104">
        <v>501000</v>
      </c>
      <c r="E26" s="105"/>
      <c r="F26" s="106">
        <f t="shared" si="4"/>
        <v>501000</v>
      </c>
      <c r="G26" s="107">
        <f t="shared" si="3"/>
        <v>501000</v>
      </c>
      <c r="H26" s="99"/>
      <c r="I26" s="100"/>
    </row>
    <row r="27" ht="25" customHeight="1" spans="1:9">
      <c r="A27" s="132" t="s">
        <v>42</v>
      </c>
      <c r="B27" s="133">
        <v>45656.632974537</v>
      </c>
      <c r="C27" s="134"/>
      <c r="D27" s="135">
        <v>3000</v>
      </c>
      <c r="E27" s="136">
        <v>3000</v>
      </c>
      <c r="F27" s="137">
        <f t="shared" si="4"/>
        <v>0</v>
      </c>
      <c r="G27" s="138">
        <f t="shared" si="3"/>
        <v>0</v>
      </c>
      <c r="H27" s="139"/>
      <c r="I27" s="140"/>
    </row>
    <row r="28" ht="25" customHeight="1" spans="1:9">
      <c r="A28" s="77">
        <v>2025</v>
      </c>
      <c r="B28" s="77"/>
      <c r="C28" s="77"/>
      <c r="D28" s="77"/>
      <c r="E28" s="77"/>
      <c r="F28" s="77"/>
      <c r="G28" s="77"/>
    </row>
    <row r="29" ht="20" customHeight="1" spans="1:9">
      <c r="A29" s="78" t="s">
        <v>0</v>
      </c>
      <c r="B29" s="79" t="s">
        <v>1</v>
      </c>
      <c r="C29" s="80" t="s">
        <v>2</v>
      </c>
      <c r="D29" s="81" t="s">
        <v>3</v>
      </c>
      <c r="E29" s="81" t="s">
        <v>4</v>
      </c>
      <c r="F29" s="82" t="s">
        <v>5</v>
      </c>
      <c r="G29" s="83" t="s">
        <v>6</v>
      </c>
      <c r="H29" s="78" t="s">
        <v>7</v>
      </c>
      <c r="I29" s="84" t="s">
        <v>8</v>
      </c>
    </row>
    <row r="30" ht="25" customHeight="1" spans="1:9">
      <c r="A30" s="101" t="s">
        <v>43</v>
      </c>
      <c r="B30" s="102">
        <v>45659</v>
      </c>
      <c r="C30" s="103" t="s">
        <v>44</v>
      </c>
      <c r="D30" s="104">
        <v>13500</v>
      </c>
      <c r="E30" s="105">
        <v>13500</v>
      </c>
      <c r="F30" s="106">
        <f t="shared" ref="F30:F35" si="5">D30-E30</f>
        <v>0</v>
      </c>
      <c r="G30" s="107">
        <f t="shared" ref="G30:G36" si="6">F30</f>
        <v>0</v>
      </c>
      <c r="H30" s="141"/>
      <c r="I30" s="91">
        <f>SUM(E30:E38,E40,E42,E44:E47,E49:E60)</f>
        <v>2691809.5</v>
      </c>
    </row>
    <row r="31" ht="25" customHeight="1" spans="1:9">
      <c r="A31" s="92" t="s">
        <v>45</v>
      </c>
      <c r="B31" s="93">
        <v>45662</v>
      </c>
      <c r="C31" s="94"/>
      <c r="D31" s="95">
        <v>10500</v>
      </c>
      <c r="E31" s="111">
        <v>0</v>
      </c>
      <c r="F31" s="97">
        <f t="shared" si="5"/>
        <v>10500</v>
      </c>
      <c r="G31" s="98">
        <f t="shared" si="6"/>
        <v>10500</v>
      </c>
      <c r="H31" s="99"/>
      <c r="I31" s="100"/>
    </row>
    <row r="32" ht="25" customHeight="1" spans="1:9">
      <c r="A32" s="92" t="s">
        <v>46</v>
      </c>
      <c r="B32" s="93">
        <v>45664.6657986111</v>
      </c>
      <c r="C32" s="112" t="s">
        <v>47</v>
      </c>
      <c r="D32" s="95">
        <v>116030</v>
      </c>
      <c r="E32" s="111">
        <v>80000</v>
      </c>
      <c r="F32" s="97">
        <f t="shared" si="5"/>
        <v>36030</v>
      </c>
      <c r="G32" s="98">
        <f t="shared" si="6"/>
        <v>36030</v>
      </c>
      <c r="H32" s="99"/>
      <c r="I32" s="100"/>
    </row>
    <row r="33" ht="25" customHeight="1" spans="1:9">
      <c r="A33" s="101" t="s">
        <v>48</v>
      </c>
      <c r="B33" s="102">
        <v>45665.5929166667</v>
      </c>
      <c r="C33" s="103" t="s">
        <v>49</v>
      </c>
      <c r="D33" s="104">
        <v>18000</v>
      </c>
      <c r="E33" s="105">
        <v>18000</v>
      </c>
      <c r="F33" s="106">
        <f t="shared" si="5"/>
        <v>0</v>
      </c>
      <c r="G33" s="107">
        <f t="shared" si="6"/>
        <v>0</v>
      </c>
      <c r="H33" s="99"/>
      <c r="I33" s="100"/>
    </row>
    <row r="34" ht="25" customHeight="1" spans="1:9">
      <c r="A34" s="101" t="s">
        <v>50</v>
      </c>
      <c r="B34" s="102">
        <v>45666.4987037037</v>
      </c>
      <c r="C34" s="103" t="s">
        <v>51</v>
      </c>
      <c r="D34" s="104">
        <v>566950</v>
      </c>
      <c r="E34" s="105">
        <v>566950</v>
      </c>
      <c r="F34" s="106">
        <f t="shared" si="5"/>
        <v>0</v>
      </c>
      <c r="G34" s="107">
        <f t="shared" si="6"/>
        <v>0</v>
      </c>
      <c r="H34" s="99"/>
      <c r="I34" s="100"/>
    </row>
    <row r="35" ht="25" customHeight="1" spans="1:9">
      <c r="A35" s="101" t="s">
        <v>52</v>
      </c>
      <c r="B35" s="102">
        <v>45667.4171180556</v>
      </c>
      <c r="C35" s="103" t="s">
        <v>53</v>
      </c>
      <c r="D35" s="104">
        <v>7690.8</v>
      </c>
      <c r="E35" s="105">
        <v>7690.8</v>
      </c>
      <c r="F35" s="106">
        <f t="shared" si="5"/>
        <v>0</v>
      </c>
      <c r="G35" s="107">
        <f t="shared" si="6"/>
        <v>0</v>
      </c>
      <c r="H35" s="99"/>
      <c r="I35" s="100"/>
    </row>
    <row r="36" ht="25" customHeight="1" spans="1:9">
      <c r="A36" s="101" t="s">
        <v>40</v>
      </c>
      <c r="B36" s="102">
        <v>45668.548287037</v>
      </c>
      <c r="C36" s="103" t="s">
        <v>41</v>
      </c>
      <c r="D36" s="104">
        <v>500000</v>
      </c>
      <c r="E36" s="105">
        <v>300000</v>
      </c>
      <c r="F36" s="106">
        <f>D36-SUM(E36:E37)</f>
        <v>-60000</v>
      </c>
      <c r="G36" s="107">
        <f t="shared" si="6"/>
        <v>-60000</v>
      </c>
      <c r="H36" s="99"/>
      <c r="I36" s="100"/>
    </row>
    <row r="37" ht="25" customHeight="1" spans="1:9">
      <c r="A37" s="101"/>
      <c r="B37" s="102"/>
      <c r="C37" s="103"/>
      <c r="D37" s="104"/>
      <c r="E37" s="105">
        <v>260000</v>
      </c>
      <c r="F37" s="106"/>
      <c r="G37" s="107"/>
      <c r="H37" s="99"/>
      <c r="I37" s="100"/>
    </row>
    <row r="38" ht="25" customHeight="1" spans="1:9">
      <c r="A38" s="92" t="s">
        <v>18</v>
      </c>
      <c r="B38" s="93">
        <v>45668.6114930556</v>
      </c>
      <c r="C38" s="94"/>
      <c r="D38" s="95">
        <v>4500</v>
      </c>
      <c r="E38" s="111">
        <v>0</v>
      </c>
      <c r="F38" s="97">
        <f>D38-E38</f>
        <v>4500</v>
      </c>
      <c r="G38" s="98">
        <f>F38</f>
        <v>4500</v>
      </c>
      <c r="H38" s="99"/>
      <c r="I38" s="100"/>
    </row>
    <row r="39" s="72" customFormat="1" ht="25" customHeight="1" spans="1:9">
      <c r="A39" s="85" t="s">
        <v>14</v>
      </c>
      <c r="B39" s="86">
        <v>45672.8561574074</v>
      </c>
      <c r="C39" s="87" t="s">
        <v>54</v>
      </c>
      <c r="D39" s="88">
        <v>72900</v>
      </c>
      <c r="E39" s="108">
        <v>0</v>
      </c>
      <c r="F39" s="108">
        <f>D39-E39</f>
        <v>72900</v>
      </c>
      <c r="G39" s="109">
        <f>F39</f>
        <v>72900</v>
      </c>
      <c r="H39" s="110"/>
      <c r="I39" s="100"/>
    </row>
    <row r="40" ht="25" customHeight="1" spans="1:9">
      <c r="A40" s="101" t="s">
        <v>55</v>
      </c>
      <c r="B40" s="102">
        <v>45677.603287037</v>
      </c>
      <c r="C40" s="103" t="s">
        <v>56</v>
      </c>
      <c r="D40" s="104">
        <v>15600</v>
      </c>
      <c r="E40" s="104">
        <v>15600</v>
      </c>
      <c r="F40" s="106">
        <f t="shared" ref="F40:F49" si="7">D40-E40</f>
        <v>0</v>
      </c>
      <c r="G40" s="107">
        <f t="shared" ref="G40:G49" si="8">F40</f>
        <v>0</v>
      </c>
      <c r="H40" s="99"/>
      <c r="I40" s="100"/>
    </row>
    <row r="41" s="72" customFormat="1" ht="25" customHeight="1" spans="1:9">
      <c r="A41" s="85" t="s">
        <v>57</v>
      </c>
      <c r="B41" s="86">
        <v>45677.7029513889</v>
      </c>
      <c r="C41" s="87"/>
      <c r="D41" s="88">
        <v>5000</v>
      </c>
      <c r="E41" s="108">
        <v>5000</v>
      </c>
      <c r="F41" s="108">
        <f t="shared" si="7"/>
        <v>0</v>
      </c>
      <c r="G41" s="109">
        <f t="shared" si="8"/>
        <v>0</v>
      </c>
      <c r="H41" s="110"/>
      <c r="I41" s="100"/>
    </row>
    <row r="42" ht="25" customHeight="1" spans="1:9">
      <c r="A42" s="115" t="s">
        <v>29</v>
      </c>
      <c r="B42" s="116">
        <v>45678.6441087963</v>
      </c>
      <c r="C42" s="117" t="s">
        <v>58</v>
      </c>
      <c r="D42" s="118">
        <v>18200</v>
      </c>
      <c r="E42" s="119">
        <v>36400</v>
      </c>
      <c r="F42" s="120">
        <f>SUM(D42+D19)-E42</f>
        <v>0</v>
      </c>
      <c r="G42" s="121">
        <f t="shared" si="8"/>
        <v>0</v>
      </c>
      <c r="H42" s="99"/>
      <c r="I42" s="100"/>
    </row>
    <row r="43" s="72" customFormat="1" ht="25" customHeight="1" spans="1:9">
      <c r="A43" s="85" t="s">
        <v>14</v>
      </c>
      <c r="B43" s="86">
        <v>45679.8283680556</v>
      </c>
      <c r="C43" s="87" t="s">
        <v>59</v>
      </c>
      <c r="D43" s="88">
        <v>11800</v>
      </c>
      <c r="E43" s="108">
        <v>11800</v>
      </c>
      <c r="F43" s="108">
        <f t="shared" si="7"/>
        <v>0</v>
      </c>
      <c r="G43" s="109">
        <f t="shared" si="8"/>
        <v>0</v>
      </c>
      <c r="H43" s="110"/>
      <c r="I43" s="100"/>
    </row>
    <row r="44" ht="25" customHeight="1" spans="1:9">
      <c r="A44" s="101" t="s">
        <v>60</v>
      </c>
      <c r="B44" s="102">
        <v>45679.872349537</v>
      </c>
      <c r="C44" s="122" t="s">
        <v>61</v>
      </c>
      <c r="D44" s="104">
        <v>100000</v>
      </c>
      <c r="E44" s="123">
        <v>0</v>
      </c>
      <c r="F44" s="124">
        <f t="shared" si="7"/>
        <v>100000</v>
      </c>
      <c r="G44" s="125">
        <f t="shared" si="8"/>
        <v>100000</v>
      </c>
      <c r="H44" s="99" t="s">
        <v>62</v>
      </c>
      <c r="I44" s="100"/>
    </row>
    <row r="45" ht="25" customHeight="1" spans="1:9">
      <c r="A45" s="101" t="s">
        <v>63</v>
      </c>
      <c r="B45" s="102">
        <v>45680.5531712963</v>
      </c>
      <c r="C45" s="103"/>
      <c r="D45" s="104">
        <v>81360</v>
      </c>
      <c r="E45" s="105">
        <v>81360</v>
      </c>
      <c r="F45" s="106">
        <f t="shared" si="7"/>
        <v>0</v>
      </c>
      <c r="G45" s="107">
        <f t="shared" si="8"/>
        <v>0</v>
      </c>
      <c r="H45" s="99"/>
      <c r="I45" s="100"/>
    </row>
    <row r="46" ht="25" customHeight="1" spans="1:9">
      <c r="A46" s="101" t="s">
        <v>64</v>
      </c>
      <c r="B46" s="102">
        <v>45682.5695486111</v>
      </c>
      <c r="C46" s="122" t="s">
        <v>65</v>
      </c>
      <c r="D46" s="104">
        <v>117000</v>
      </c>
      <c r="E46" s="123">
        <v>100000</v>
      </c>
      <c r="F46" s="124">
        <f t="shared" si="7"/>
        <v>17000</v>
      </c>
      <c r="G46" s="125">
        <f t="shared" si="8"/>
        <v>17000</v>
      </c>
      <c r="H46" s="99"/>
      <c r="I46" s="100"/>
    </row>
    <row r="47" ht="25" customHeight="1" spans="1:9">
      <c r="A47" s="92" t="s">
        <v>66</v>
      </c>
      <c r="B47" s="93">
        <v>45683.8766782407</v>
      </c>
      <c r="C47" s="94"/>
      <c r="D47" s="95">
        <v>11000</v>
      </c>
      <c r="E47" s="111">
        <v>0</v>
      </c>
      <c r="F47" s="97">
        <f t="shared" si="7"/>
        <v>11000</v>
      </c>
      <c r="G47" s="98">
        <f t="shared" si="8"/>
        <v>11000</v>
      </c>
      <c r="H47" s="99"/>
      <c r="I47" s="100"/>
    </row>
    <row r="48" s="72" customFormat="1" ht="25" customHeight="1" spans="1:9">
      <c r="A48" s="85" t="s">
        <v>67</v>
      </c>
      <c r="B48" s="86">
        <v>45733.8527199074</v>
      </c>
      <c r="C48" s="87"/>
      <c r="D48" s="88">
        <v>100000</v>
      </c>
      <c r="E48" s="108">
        <v>100000</v>
      </c>
      <c r="F48" s="108">
        <f t="shared" si="7"/>
        <v>0</v>
      </c>
      <c r="G48" s="109">
        <f t="shared" si="8"/>
        <v>0</v>
      </c>
      <c r="H48" s="110"/>
      <c r="I48" s="100"/>
    </row>
    <row r="49" ht="25" customHeight="1" spans="1:9">
      <c r="A49" s="101" t="s">
        <v>50</v>
      </c>
      <c r="B49" s="102">
        <v>45798.5226967593</v>
      </c>
      <c r="C49" s="103" t="s">
        <v>51</v>
      </c>
      <c r="D49" s="104">
        <v>195500</v>
      </c>
      <c r="E49" s="105">
        <v>195500</v>
      </c>
      <c r="F49" s="106">
        <f t="shared" si="7"/>
        <v>0</v>
      </c>
      <c r="G49" s="107">
        <f t="shared" si="8"/>
        <v>0</v>
      </c>
      <c r="H49" s="99"/>
      <c r="I49" s="100"/>
    </row>
    <row r="50" ht="25" customHeight="1" spans="1:9">
      <c r="A50" s="99" t="s">
        <v>68</v>
      </c>
      <c r="B50" s="142">
        <v>45806</v>
      </c>
      <c r="C50" s="143" t="s">
        <v>69</v>
      </c>
      <c r="D50" s="105">
        <v>188000</v>
      </c>
      <c r="E50" s="105">
        <v>188000</v>
      </c>
      <c r="F50" s="106">
        <f t="shared" ref="F50:F61" si="9">D50-E50</f>
        <v>0</v>
      </c>
      <c r="G50" s="107">
        <f t="shared" ref="G50:G61" si="10">F50</f>
        <v>0</v>
      </c>
      <c r="H50" s="99"/>
      <c r="I50" s="100"/>
    </row>
    <row r="51" ht="25" customHeight="1" spans="1:9">
      <c r="A51" s="144" t="s">
        <v>70</v>
      </c>
      <c r="B51" s="145">
        <v>45840</v>
      </c>
      <c r="C51" s="146" t="s">
        <v>71</v>
      </c>
      <c r="D51" s="111">
        <v>33345</v>
      </c>
      <c r="E51" s="111">
        <v>20000</v>
      </c>
      <c r="F51" s="97">
        <f t="shared" si="9"/>
        <v>13345</v>
      </c>
      <c r="G51" s="98">
        <f t="shared" si="10"/>
        <v>13345</v>
      </c>
      <c r="H51" s="99"/>
      <c r="I51" s="100"/>
    </row>
    <row r="52" ht="25" customHeight="1" spans="1:9">
      <c r="A52" s="99" t="s">
        <v>72</v>
      </c>
      <c r="B52" s="142">
        <v>45845</v>
      </c>
      <c r="C52" s="143" t="s">
        <v>73</v>
      </c>
      <c r="D52" s="105">
        <v>28800</v>
      </c>
      <c r="E52" s="105">
        <v>28800</v>
      </c>
      <c r="F52" s="106">
        <f t="shared" si="9"/>
        <v>0</v>
      </c>
      <c r="G52" s="107">
        <f t="shared" si="10"/>
        <v>0</v>
      </c>
      <c r="H52" s="99"/>
      <c r="I52" s="100"/>
    </row>
    <row r="53" ht="25" customHeight="1" spans="1:9">
      <c r="A53" s="99" t="s">
        <v>52</v>
      </c>
      <c r="B53" s="142">
        <v>45891</v>
      </c>
      <c r="C53" s="143" t="s">
        <v>74</v>
      </c>
      <c r="D53" s="105">
        <v>9298.2</v>
      </c>
      <c r="E53" s="105">
        <v>9298.2</v>
      </c>
      <c r="F53" s="106">
        <f t="shared" si="9"/>
        <v>0</v>
      </c>
      <c r="G53" s="107">
        <f t="shared" si="10"/>
        <v>0</v>
      </c>
      <c r="H53" s="99"/>
      <c r="I53" s="100"/>
    </row>
    <row r="54" ht="25" customHeight="1" spans="1:9">
      <c r="A54" s="147" t="s">
        <v>75</v>
      </c>
      <c r="B54" s="148">
        <v>45919</v>
      </c>
      <c r="C54" s="149" t="s">
        <v>76</v>
      </c>
      <c r="D54" s="123">
        <v>960000</v>
      </c>
      <c r="E54" s="123">
        <v>670260.5</v>
      </c>
      <c r="F54" s="150">
        <f t="shared" si="9"/>
        <v>289739.5</v>
      </c>
      <c r="G54" s="125">
        <f t="shared" si="10"/>
        <v>289739.5</v>
      </c>
      <c r="H54" s="151" t="s">
        <v>77</v>
      </c>
      <c r="I54" s="100"/>
    </row>
    <row r="55" ht="25" customHeight="1" spans="1:9">
      <c r="A55" s="144" t="s">
        <v>78</v>
      </c>
      <c r="B55" s="145">
        <v>45930</v>
      </c>
      <c r="C55" s="146" t="s">
        <v>79</v>
      </c>
      <c r="D55" s="111">
        <v>120000</v>
      </c>
      <c r="E55" s="111">
        <v>0</v>
      </c>
      <c r="F55" s="97">
        <f t="shared" si="9"/>
        <v>120000</v>
      </c>
      <c r="G55" s="98">
        <f t="shared" si="10"/>
        <v>120000</v>
      </c>
      <c r="H55" s="99" t="s">
        <v>80</v>
      </c>
      <c r="I55" s="100"/>
    </row>
    <row r="56" ht="25" customHeight="1" spans="1:9">
      <c r="A56" s="92" t="s">
        <v>81</v>
      </c>
      <c r="B56" s="93">
        <v>45984</v>
      </c>
      <c r="C56" s="94" t="s">
        <v>82</v>
      </c>
      <c r="D56" s="95">
        <v>63000</v>
      </c>
      <c r="E56" s="111">
        <v>0</v>
      </c>
      <c r="F56" s="97">
        <f t="shared" si="9"/>
        <v>63000</v>
      </c>
      <c r="G56" s="98">
        <f t="shared" si="10"/>
        <v>63000</v>
      </c>
      <c r="H56" s="99"/>
      <c r="I56" s="100"/>
    </row>
    <row r="57" ht="25" customHeight="1" spans="1:9">
      <c r="A57" s="147" t="s">
        <v>83</v>
      </c>
      <c r="B57" s="148">
        <v>45988</v>
      </c>
      <c r="C57" s="149" t="s">
        <v>84</v>
      </c>
      <c r="D57" s="123">
        <v>200000</v>
      </c>
      <c r="E57" s="123">
        <v>0</v>
      </c>
      <c r="F57" s="124">
        <f t="shared" si="9"/>
        <v>200000</v>
      </c>
      <c r="G57" s="125">
        <f t="shared" si="10"/>
        <v>200000</v>
      </c>
      <c r="H57" s="99" t="s">
        <v>62</v>
      </c>
      <c r="I57" s="100"/>
    </row>
    <row r="58" ht="25" customHeight="1" spans="1:9">
      <c r="A58" s="147" t="s">
        <v>85</v>
      </c>
      <c r="B58" s="148">
        <v>45993</v>
      </c>
      <c r="C58" s="149" t="s">
        <v>86</v>
      </c>
      <c r="D58" s="123">
        <v>5000</v>
      </c>
      <c r="E58" s="123">
        <v>5000</v>
      </c>
      <c r="F58" s="124">
        <f t="shared" si="9"/>
        <v>0</v>
      </c>
      <c r="G58" s="125">
        <f t="shared" si="10"/>
        <v>0</v>
      </c>
      <c r="H58" s="99"/>
      <c r="I58" s="100"/>
    </row>
    <row r="59" ht="25" customHeight="1" spans="1:9">
      <c r="A59" s="99" t="s">
        <v>87</v>
      </c>
      <c r="B59" s="142">
        <v>45994</v>
      </c>
      <c r="C59" s="143" t="s">
        <v>88</v>
      </c>
      <c r="D59" s="105">
        <v>86000</v>
      </c>
      <c r="E59" s="105">
        <v>86000</v>
      </c>
      <c r="F59" s="106">
        <f t="shared" si="9"/>
        <v>0</v>
      </c>
      <c r="G59" s="107">
        <f t="shared" si="10"/>
        <v>0</v>
      </c>
      <c r="H59" s="99"/>
      <c r="I59" s="100"/>
    </row>
    <row r="60" ht="25" customHeight="1" spans="1:9">
      <c r="A60" s="139" t="s">
        <v>89</v>
      </c>
      <c r="B60" s="152">
        <v>46003</v>
      </c>
      <c r="C60" s="134"/>
      <c r="D60" s="136">
        <v>9450</v>
      </c>
      <c r="E60" s="136">
        <v>9450</v>
      </c>
      <c r="F60" s="137">
        <f t="shared" si="9"/>
        <v>0</v>
      </c>
      <c r="G60" s="138">
        <f t="shared" si="10"/>
        <v>0</v>
      </c>
      <c r="H60" s="139"/>
      <c r="I60" s="140"/>
    </row>
    <row r="61" ht="25" customHeight="1" spans="1:9">
      <c r="A61" s="77">
        <v>2026</v>
      </c>
      <c r="B61" s="77"/>
      <c r="C61" s="77"/>
      <c r="D61" s="77"/>
      <c r="E61" s="77"/>
      <c r="F61" s="77"/>
      <c r="G61" s="77"/>
    </row>
    <row r="62" ht="20" customHeight="1" spans="1:9">
      <c r="A62" s="78" t="s">
        <v>0</v>
      </c>
      <c r="B62" s="79" t="s">
        <v>1</v>
      </c>
      <c r="C62" s="80" t="s">
        <v>2</v>
      </c>
      <c r="D62" s="81" t="s">
        <v>3</v>
      </c>
      <c r="E62" s="81" t="s">
        <v>4</v>
      </c>
      <c r="F62" s="82" t="s">
        <v>5</v>
      </c>
      <c r="G62" s="83" t="s">
        <v>6</v>
      </c>
      <c r="H62" s="78" t="s">
        <v>7</v>
      </c>
      <c r="I62" s="84" t="s">
        <v>8</v>
      </c>
    </row>
    <row r="63" ht="25" customHeight="1" spans="1:9">
      <c r="A63" s="3" t="s">
        <v>90</v>
      </c>
      <c r="B63" s="61">
        <v>46037</v>
      </c>
      <c r="C63" s="3" t="s">
        <v>91</v>
      </c>
      <c r="D63" s="33">
        <v>39730</v>
      </c>
      <c r="E63" s="33">
        <v>39730</v>
      </c>
      <c r="F63" s="124">
        <f t="shared" ref="F63:F82" si="11">D63-E63</f>
        <v>0</v>
      </c>
      <c r="G63" s="125">
        <f t="shared" ref="G63:G82" si="12">F63</f>
        <v>0</v>
      </c>
      <c r="I63" s="76">
        <f>SUM(E63:E65,E69:E71,E75:E77,E80:E81)</f>
        <v>863327.02</v>
      </c>
    </row>
    <row r="64" ht="25" customHeight="1" spans="1:9">
      <c r="A64" s="3" t="s">
        <v>90</v>
      </c>
      <c r="B64" s="61">
        <v>46037</v>
      </c>
      <c r="C64" s="3" t="s">
        <v>92</v>
      </c>
      <c r="D64" s="33">
        <v>27840</v>
      </c>
      <c r="E64" s="33">
        <v>27840</v>
      </c>
      <c r="F64" s="124">
        <f t="shared" si="11"/>
        <v>0</v>
      </c>
      <c r="G64" s="125">
        <f t="shared" si="12"/>
        <v>0</v>
      </c>
    </row>
    <row r="65" ht="25" customHeight="1" spans="1:8">
      <c r="A65" s="3" t="s">
        <v>93</v>
      </c>
      <c r="B65" s="61">
        <v>46041</v>
      </c>
      <c r="C65" s="153" t="s">
        <v>94</v>
      </c>
      <c r="D65" s="33">
        <v>4000</v>
      </c>
      <c r="E65" s="33">
        <v>0</v>
      </c>
      <c r="F65" s="124">
        <f t="shared" si="11"/>
        <v>4000</v>
      </c>
      <c r="G65" s="125">
        <f t="shared" si="12"/>
        <v>4000</v>
      </c>
      <c r="H65" s="2" t="s">
        <v>95</v>
      </c>
    </row>
    <row r="66" ht="25" customHeight="1" spans="1:8">
      <c r="A66" s="85" t="s">
        <v>96</v>
      </c>
      <c r="B66" s="86">
        <v>46048</v>
      </c>
      <c r="C66" s="87" t="s">
        <v>97</v>
      </c>
      <c r="D66" s="88">
        <v>195800</v>
      </c>
      <c r="E66" s="108">
        <v>195800</v>
      </c>
      <c r="F66" s="108">
        <f t="shared" si="11"/>
        <v>0</v>
      </c>
      <c r="G66" s="125">
        <f t="shared" si="12"/>
        <v>0</v>
      </c>
      <c r="H66" s="143"/>
    </row>
    <row r="67" ht="25" customHeight="1" spans="1:8">
      <c r="A67" s="85" t="s">
        <v>31</v>
      </c>
      <c r="B67" s="86">
        <v>46048</v>
      </c>
      <c r="C67" s="113" t="s">
        <v>98</v>
      </c>
      <c r="D67" s="88">
        <v>83295</v>
      </c>
      <c r="E67" s="108">
        <v>83295</v>
      </c>
      <c r="F67" s="108">
        <f t="shared" si="11"/>
        <v>0</v>
      </c>
      <c r="G67" s="125">
        <f t="shared" si="12"/>
        <v>0</v>
      </c>
      <c r="H67" s="143"/>
    </row>
    <row r="68" ht="25" customHeight="1" spans="1:8">
      <c r="A68" s="85" t="s">
        <v>99</v>
      </c>
      <c r="B68" s="86">
        <v>46049</v>
      </c>
      <c r="C68" s="87" t="s">
        <v>100</v>
      </c>
      <c r="D68" s="88">
        <v>60000</v>
      </c>
      <c r="E68" s="108">
        <v>60000</v>
      </c>
      <c r="F68" s="108">
        <f t="shared" si="11"/>
        <v>0</v>
      </c>
      <c r="G68" s="125">
        <f t="shared" si="12"/>
        <v>0</v>
      </c>
      <c r="H68" s="143"/>
    </row>
    <row r="69" ht="25" customHeight="1" spans="1:8">
      <c r="A69" s="154" t="s">
        <v>83</v>
      </c>
      <c r="B69" s="155">
        <v>46049</v>
      </c>
      <c r="C69" s="154" t="s">
        <v>84</v>
      </c>
      <c r="D69" s="156">
        <v>250000</v>
      </c>
      <c r="E69" s="156">
        <v>150000</v>
      </c>
      <c r="F69" s="157">
        <f t="shared" si="11"/>
        <v>100000</v>
      </c>
      <c r="G69" s="98">
        <f t="shared" si="12"/>
        <v>100000</v>
      </c>
      <c r="H69" s="158" t="s">
        <v>101</v>
      </c>
    </row>
    <row r="70" ht="25" customHeight="1" spans="1:8">
      <c r="A70" s="3" t="s">
        <v>102</v>
      </c>
      <c r="B70" s="61">
        <v>46051</v>
      </c>
      <c r="C70" s="3" t="s">
        <v>103</v>
      </c>
      <c r="D70" s="33">
        <v>154612.92</v>
      </c>
      <c r="E70" s="33">
        <v>154612.92</v>
      </c>
      <c r="F70" s="159">
        <f t="shared" si="11"/>
        <v>0</v>
      </c>
      <c r="G70" s="125">
        <f t="shared" si="12"/>
        <v>0</v>
      </c>
      <c r="H70" s="143"/>
    </row>
    <row r="71" ht="25" customHeight="1" spans="1:8">
      <c r="A71" s="3" t="s">
        <v>50</v>
      </c>
      <c r="B71" s="61">
        <v>46056</v>
      </c>
      <c r="C71" s="3" t="s">
        <v>51</v>
      </c>
      <c r="D71" s="33">
        <v>230000</v>
      </c>
      <c r="E71" s="33">
        <v>230000</v>
      </c>
      <c r="F71" s="159">
        <f t="shared" si="11"/>
        <v>0</v>
      </c>
      <c r="G71" s="125">
        <f t="shared" si="12"/>
        <v>0</v>
      </c>
      <c r="H71" s="143" t="s">
        <v>104</v>
      </c>
    </row>
    <row r="72" ht="25" customHeight="1" spans="1:8">
      <c r="A72" s="85" t="s">
        <v>14</v>
      </c>
      <c r="B72" s="86">
        <v>46058</v>
      </c>
      <c r="C72" s="87"/>
      <c r="D72" s="88">
        <v>12000</v>
      </c>
      <c r="E72" s="160">
        <v>12000</v>
      </c>
      <c r="F72" s="108">
        <f t="shared" si="11"/>
        <v>0</v>
      </c>
      <c r="G72" s="125">
        <f t="shared" si="12"/>
        <v>0</v>
      </c>
      <c r="H72" s="143"/>
    </row>
    <row r="73" ht="25" customHeight="1" spans="1:8">
      <c r="A73" s="85" t="s">
        <v>105</v>
      </c>
      <c r="B73" s="86">
        <v>46058</v>
      </c>
      <c r="C73" s="113"/>
      <c r="D73" s="88">
        <v>10000</v>
      </c>
      <c r="E73" s="108">
        <v>10000</v>
      </c>
      <c r="F73" s="108">
        <f t="shared" si="11"/>
        <v>0</v>
      </c>
      <c r="G73" s="125">
        <f t="shared" si="12"/>
        <v>0</v>
      </c>
      <c r="H73" s="143"/>
    </row>
    <row r="74" ht="25" customHeight="1" spans="1:8">
      <c r="A74" s="85" t="s">
        <v>106</v>
      </c>
      <c r="B74" s="86">
        <v>46058</v>
      </c>
      <c r="C74" s="87" t="s">
        <v>107</v>
      </c>
      <c r="D74" s="88">
        <v>7800</v>
      </c>
      <c r="E74" s="108">
        <v>7800</v>
      </c>
      <c r="F74" s="108">
        <f t="shared" si="11"/>
        <v>0</v>
      </c>
      <c r="G74" s="125">
        <f t="shared" si="12"/>
        <v>0</v>
      </c>
      <c r="H74" s="143"/>
    </row>
    <row r="75" ht="25" customHeight="1" spans="1:8">
      <c r="A75" s="3" t="s">
        <v>29</v>
      </c>
      <c r="B75" s="61">
        <v>46058</v>
      </c>
      <c r="C75" s="153" t="s">
        <v>108</v>
      </c>
      <c r="D75" s="33">
        <v>178594</v>
      </c>
      <c r="E75" s="33">
        <v>125015.8</v>
      </c>
      <c r="F75" s="159">
        <f t="shared" si="11"/>
        <v>53578.2</v>
      </c>
      <c r="G75" s="125">
        <f t="shared" si="12"/>
        <v>53578.2</v>
      </c>
      <c r="H75" s="158" t="s">
        <v>109</v>
      </c>
    </row>
    <row r="76" ht="25" customHeight="1" spans="1:8">
      <c r="A76" s="3" t="s">
        <v>110</v>
      </c>
      <c r="B76" s="61">
        <v>46061</v>
      </c>
      <c r="C76" s="3" t="s">
        <v>111</v>
      </c>
      <c r="D76" s="33">
        <v>22547.8</v>
      </c>
      <c r="E76" s="33">
        <v>22547.8</v>
      </c>
      <c r="F76" s="159">
        <f t="shared" si="11"/>
        <v>0</v>
      </c>
      <c r="G76" s="125">
        <f t="shared" si="12"/>
        <v>0</v>
      </c>
      <c r="H76" s="143"/>
    </row>
    <row r="77" ht="25" customHeight="1" spans="1:8">
      <c r="A77" s="3" t="s">
        <v>112</v>
      </c>
      <c r="B77" s="61">
        <v>46061</v>
      </c>
      <c r="C77" s="3" t="s">
        <v>113</v>
      </c>
      <c r="D77" s="33">
        <v>67584</v>
      </c>
      <c r="E77" s="33">
        <v>67584</v>
      </c>
      <c r="F77" s="159">
        <f t="shared" si="11"/>
        <v>0</v>
      </c>
      <c r="G77" s="125">
        <f t="shared" si="12"/>
        <v>0</v>
      </c>
      <c r="H77" s="143" t="s">
        <v>114</v>
      </c>
    </row>
    <row r="78" ht="25" customHeight="1" spans="1:8">
      <c r="A78" s="85" t="s">
        <v>115</v>
      </c>
      <c r="B78" s="86">
        <v>46062</v>
      </c>
      <c r="C78" s="113" t="s">
        <v>116</v>
      </c>
      <c r="D78" s="88">
        <v>46600</v>
      </c>
      <c r="E78" s="108">
        <v>46600</v>
      </c>
      <c r="F78" s="108">
        <f t="shared" si="11"/>
        <v>0</v>
      </c>
      <c r="G78" s="125">
        <f t="shared" si="12"/>
        <v>0</v>
      </c>
      <c r="H78" s="143"/>
    </row>
    <row r="79" ht="25" customHeight="1" spans="1:8">
      <c r="A79" s="85" t="s">
        <v>99</v>
      </c>
      <c r="B79" s="86">
        <v>46062</v>
      </c>
      <c r="C79" s="87" t="s">
        <v>117</v>
      </c>
      <c r="D79" s="88">
        <v>19840</v>
      </c>
      <c r="E79" s="108">
        <v>0</v>
      </c>
      <c r="F79" s="108">
        <f t="shared" si="11"/>
        <v>19840</v>
      </c>
      <c r="G79" s="125">
        <f t="shared" si="12"/>
        <v>19840</v>
      </c>
      <c r="H79" s="143"/>
    </row>
    <row r="80" ht="25" customHeight="1" spans="1:8">
      <c r="A80" s="154" t="s">
        <v>118</v>
      </c>
      <c r="B80" s="155">
        <v>46062</v>
      </c>
      <c r="C80" s="154"/>
      <c r="D80" s="156">
        <v>5000</v>
      </c>
      <c r="E80" s="156">
        <v>0</v>
      </c>
      <c r="F80" s="157">
        <f t="shared" si="11"/>
        <v>5000</v>
      </c>
      <c r="G80" s="98">
        <f t="shared" si="12"/>
        <v>5000</v>
      </c>
      <c r="H80" s="143"/>
    </row>
    <row r="81" ht="25" customHeight="1" spans="1:8">
      <c r="A81" s="3" t="s">
        <v>64</v>
      </c>
      <c r="B81" s="61">
        <v>46063</v>
      </c>
      <c r="C81" s="153" t="s">
        <v>65</v>
      </c>
      <c r="D81" s="33">
        <v>28996.5</v>
      </c>
      <c r="E81" s="33">
        <v>45996.5</v>
      </c>
      <c r="F81" s="159">
        <f>SUM(D81,D46)-SUM(E81,E46)</f>
        <v>0</v>
      </c>
      <c r="G81" s="125"/>
      <c r="H81" s="143" t="s">
        <v>119</v>
      </c>
    </row>
    <row r="82" ht="25" customHeight="1" spans="1:8">
      <c r="A82" s="85" t="s">
        <v>120</v>
      </c>
      <c r="B82" s="86">
        <v>46065</v>
      </c>
      <c r="C82" s="113"/>
      <c r="D82" s="88">
        <v>49986</v>
      </c>
      <c r="E82" s="108">
        <v>49986</v>
      </c>
      <c r="F82" s="108">
        <f t="shared" si="11"/>
        <v>0</v>
      </c>
      <c r="G82" s="125">
        <f t="shared" si="12"/>
        <v>0</v>
      </c>
      <c r="H82" s="143"/>
    </row>
    <row r="90" spans="1:8">
      <c r="C90" s="2" t="s">
        <v>121</v>
      </c>
    </row>
  </sheetData>
  <autoFilter xmlns:etc="http://www.wps.cn/officeDocument/2017/etCustomData" ref="A1:G82" etc:filterBottomFollowUsedRange="0">
    <extLst/>
  </autoFilter>
  <mergeCells count="15">
    <mergeCell ref="A1:G1"/>
    <mergeCell ref="A28:G28"/>
    <mergeCell ref="A61:G61"/>
    <mergeCell ref="A36:A37"/>
    <mergeCell ref="B36:B37"/>
    <mergeCell ref="C36:C37"/>
    <mergeCell ref="D36:D37"/>
    <mergeCell ref="E8:E9"/>
    <mergeCell ref="F8:F9"/>
    <mergeCell ref="F36:F37"/>
    <mergeCell ref="G8:G9"/>
    <mergeCell ref="G36:G37"/>
    <mergeCell ref="I3:I27"/>
    <mergeCell ref="I30:I60"/>
    <mergeCell ref="I63:I8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zoomScale="90" zoomScaleNormal="90" topLeftCell="A17" workbookViewId="0">
      <selection activeCell="G43" sqref="G43"/>
    </sheetView>
  </sheetViews>
  <sheetFormatPr defaultColWidth="9" defaultRowHeight="12" outlineLevelCol="7"/>
  <cols>
    <col min="1" max="1" width="29.5" style="2" customWidth="1"/>
    <col min="2" max="2" width="13.875" style="4" customWidth="1"/>
    <col min="3" max="3" width="60.125" style="2" customWidth="1"/>
    <col min="4" max="4" width="15.875" style="5"/>
    <col min="5" max="5" width="16.375" style="5"/>
    <col min="6" max="6" width="14.75" style="2"/>
    <col min="7" max="7" width="30" style="6" customWidth="1"/>
    <col min="8" max="8" width="9.25" style="2"/>
    <col min="9" max="32" width="9" style="2"/>
    <col min="33" max="16384" width="54.5" style="2"/>
  </cols>
  <sheetData>
    <row r="1" s="1" customFormat="1" ht="25" customHeight="1" spans="1:8">
      <c r="A1" s="7">
        <v>2024</v>
      </c>
      <c r="B1" s="7"/>
      <c r="C1" s="7"/>
      <c r="D1" s="7"/>
      <c r="E1" s="7"/>
      <c r="F1" s="7"/>
      <c r="G1" s="7"/>
      <c r="H1" s="8"/>
    </row>
    <row r="2" ht="20" customHeight="1" spans="1:8">
      <c r="A2" s="9" t="s">
        <v>0</v>
      </c>
      <c r="B2" s="10" t="s">
        <v>1</v>
      </c>
      <c r="C2" s="11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2" t="s">
        <v>8</v>
      </c>
    </row>
    <row r="3" s="2" customFormat="1" ht="25" customHeight="1" spans="1:8">
      <c r="A3" s="15" t="s">
        <v>122</v>
      </c>
      <c r="B3" s="16">
        <v>45314</v>
      </c>
      <c r="C3" s="17" t="s">
        <v>123</v>
      </c>
      <c r="D3" s="18">
        <v>29120</v>
      </c>
      <c r="E3" s="19">
        <v>29120</v>
      </c>
      <c r="F3" s="20">
        <f>D3-E3</f>
        <v>0</v>
      </c>
      <c r="G3" s="21">
        <f>F3</f>
        <v>0</v>
      </c>
      <c r="H3" s="2">
        <f>SUM(E3:E14)</f>
        <v>1016390</v>
      </c>
    </row>
    <row r="4" s="2" customFormat="1" ht="25" customHeight="1" spans="1:8">
      <c r="A4" s="22" t="s">
        <v>124</v>
      </c>
      <c r="B4" s="23">
        <v>45327</v>
      </c>
      <c r="C4" s="24" t="s">
        <v>125</v>
      </c>
      <c r="D4" s="25">
        <v>95500</v>
      </c>
      <c r="E4" s="26">
        <v>70000</v>
      </c>
      <c r="F4" s="27">
        <f>D4-E4</f>
        <v>25500</v>
      </c>
      <c r="G4" s="28">
        <f>F4</f>
        <v>25500</v>
      </c>
    </row>
    <row r="5" s="2" customFormat="1" ht="25" customHeight="1" spans="1:8">
      <c r="A5" s="29" t="s">
        <v>126</v>
      </c>
      <c r="B5" s="30">
        <v>45423</v>
      </c>
      <c r="C5" s="31" t="s">
        <v>127</v>
      </c>
      <c r="D5" s="32">
        <v>220800</v>
      </c>
      <c r="E5" s="33">
        <v>100000</v>
      </c>
      <c r="F5" s="34">
        <f>D5-SUM(E5:E7)</f>
        <v>0</v>
      </c>
      <c r="G5" s="35">
        <f>F5</f>
        <v>0</v>
      </c>
    </row>
    <row r="6" s="2" customFormat="1" ht="25" customHeight="1" spans="1:8">
      <c r="A6" s="29"/>
      <c r="B6" s="30"/>
      <c r="C6" s="31"/>
      <c r="D6" s="32"/>
      <c r="E6" s="33">
        <v>80800</v>
      </c>
      <c r="F6" s="34"/>
      <c r="G6" s="35"/>
    </row>
    <row r="7" s="2" customFormat="1" ht="25" customHeight="1" spans="1:8">
      <c r="A7" s="29"/>
      <c r="B7" s="30"/>
      <c r="C7" s="31"/>
      <c r="D7" s="32"/>
      <c r="E7" s="5">
        <v>40000</v>
      </c>
      <c r="F7" s="34"/>
      <c r="G7" s="35"/>
    </row>
    <row r="8" s="2" customFormat="1" ht="25" customHeight="1" spans="1:8">
      <c r="A8" s="29" t="s">
        <v>128</v>
      </c>
      <c r="B8" s="30">
        <v>45425</v>
      </c>
      <c r="C8" s="31"/>
      <c r="D8" s="32">
        <v>17820</v>
      </c>
      <c r="E8" s="5">
        <v>17820</v>
      </c>
      <c r="F8" s="36">
        <f>D8-E8</f>
        <v>0</v>
      </c>
      <c r="G8" s="37">
        <f t="shared" ref="G8:G13" si="0">F8</f>
        <v>0</v>
      </c>
    </row>
    <row r="9" s="2" customFormat="1" ht="25" customHeight="1" spans="1:8">
      <c r="A9" s="29" t="s">
        <v>129</v>
      </c>
      <c r="B9" s="30">
        <v>45483</v>
      </c>
      <c r="C9" s="31" t="s">
        <v>130</v>
      </c>
      <c r="D9" s="32">
        <v>117700</v>
      </c>
      <c r="E9" s="5">
        <v>117700</v>
      </c>
      <c r="F9" s="36">
        <f>D9-E9</f>
        <v>0</v>
      </c>
      <c r="G9" s="37">
        <f t="shared" si="0"/>
        <v>0</v>
      </c>
    </row>
    <row r="10" s="2" customFormat="1" ht="25" customHeight="1" spans="1:8">
      <c r="A10" s="29" t="s">
        <v>129</v>
      </c>
      <c r="B10" s="30">
        <v>45526</v>
      </c>
      <c r="C10" s="31" t="s">
        <v>130</v>
      </c>
      <c r="D10" s="32">
        <v>52800</v>
      </c>
      <c r="E10" s="5">
        <v>52800</v>
      </c>
      <c r="F10" s="36">
        <f>D10-E10</f>
        <v>0</v>
      </c>
      <c r="G10" s="37">
        <f t="shared" si="0"/>
        <v>0</v>
      </c>
    </row>
    <row r="11" s="3" customFormat="1" ht="25" customHeight="1" spans="1:8">
      <c r="A11" s="38" t="s">
        <v>131</v>
      </c>
      <c r="B11" s="39">
        <v>45579</v>
      </c>
      <c r="C11" s="40" t="s">
        <v>132</v>
      </c>
      <c r="D11" s="41">
        <v>86648.4</v>
      </c>
      <c r="E11" s="42">
        <v>40000</v>
      </c>
      <c r="F11" s="43">
        <v>0</v>
      </c>
      <c r="G11" s="44">
        <f t="shared" si="0"/>
        <v>0</v>
      </c>
      <c r="H11" s="2"/>
    </row>
    <row r="12" ht="25" customHeight="1" spans="1:8">
      <c r="A12" s="29" t="s">
        <v>124</v>
      </c>
      <c r="B12" s="30">
        <v>45580</v>
      </c>
      <c r="C12" s="31" t="s">
        <v>133</v>
      </c>
      <c r="D12" s="32">
        <v>70200</v>
      </c>
      <c r="E12" s="5">
        <v>70200</v>
      </c>
      <c r="F12" s="36">
        <f>D12-E12</f>
        <v>0</v>
      </c>
      <c r="G12" s="37">
        <f t="shared" si="0"/>
        <v>0</v>
      </c>
    </row>
    <row r="13" ht="25" customHeight="1" spans="1:8">
      <c r="A13" s="29" t="s">
        <v>134</v>
      </c>
      <c r="B13" s="30">
        <v>45618</v>
      </c>
      <c r="C13" s="31" t="s">
        <v>135</v>
      </c>
      <c r="D13" s="32">
        <v>255000</v>
      </c>
      <c r="E13" s="5">
        <v>397950</v>
      </c>
      <c r="F13" s="36">
        <f>SUM(D13:D14)-E13</f>
        <v>0</v>
      </c>
      <c r="G13" s="37">
        <f t="shared" si="0"/>
        <v>0</v>
      </c>
    </row>
    <row r="14" ht="25" customHeight="1" spans="1:8">
      <c r="A14" s="45" t="s">
        <v>134</v>
      </c>
      <c r="B14" s="46">
        <v>45631</v>
      </c>
      <c r="C14" s="47" t="s">
        <v>135</v>
      </c>
      <c r="D14" s="48">
        <v>142950</v>
      </c>
      <c r="E14" s="49"/>
      <c r="F14" s="50"/>
      <c r="G14" s="51"/>
    </row>
    <row r="15" s="1" customFormat="1" ht="25" customHeight="1" spans="1:8">
      <c r="A15" s="7">
        <v>2025</v>
      </c>
      <c r="B15" s="7"/>
      <c r="C15" s="7"/>
      <c r="D15" s="7"/>
      <c r="E15" s="7"/>
      <c r="F15" s="7"/>
      <c r="G15" s="7"/>
      <c r="H15" s="8"/>
    </row>
    <row r="16" customFormat="1" ht="20" customHeight="1" spans="1:8">
      <c r="A16" s="9" t="s">
        <v>0</v>
      </c>
      <c r="B16" s="10" t="s">
        <v>1</v>
      </c>
      <c r="C16" s="11" t="s">
        <v>2</v>
      </c>
      <c r="D16" s="12" t="s">
        <v>3</v>
      </c>
      <c r="E16" s="12" t="s">
        <v>4</v>
      </c>
      <c r="F16" s="13" t="s">
        <v>5</v>
      </c>
      <c r="G16" s="14" t="s">
        <v>6</v>
      </c>
      <c r="H16" s="52" t="s">
        <v>8</v>
      </c>
    </row>
    <row r="17" s="2" customFormat="1" ht="25" customHeight="1" spans="1:8">
      <c r="A17" s="15" t="s">
        <v>90</v>
      </c>
      <c r="B17" s="16">
        <v>45674</v>
      </c>
      <c r="C17" s="17" t="s">
        <v>136</v>
      </c>
      <c r="D17" s="18">
        <v>7400</v>
      </c>
      <c r="E17" s="53">
        <v>7400</v>
      </c>
      <c r="F17" s="54">
        <f>SUM(D17:D18)-SUM(E17:E18)</f>
        <v>0</v>
      </c>
      <c r="G17" s="55">
        <f>F17</f>
        <v>0</v>
      </c>
      <c r="H17" s="2">
        <f>SUM(E17:E28)</f>
        <v>652682.96</v>
      </c>
    </row>
    <row r="18" s="2" customFormat="1" ht="25" customHeight="1" spans="1:8">
      <c r="A18" s="29" t="s">
        <v>90</v>
      </c>
      <c r="B18" s="30">
        <v>45674</v>
      </c>
      <c r="C18" s="31" t="s">
        <v>137</v>
      </c>
      <c r="D18" s="32">
        <v>29500</v>
      </c>
      <c r="E18" s="5">
        <v>29500</v>
      </c>
      <c r="F18" s="36"/>
      <c r="G18" s="37"/>
    </row>
    <row r="19" s="2" customFormat="1" ht="25" customHeight="1" spans="1:8">
      <c r="A19" s="29" t="s">
        <v>138</v>
      </c>
      <c r="B19" s="30">
        <v>45674</v>
      </c>
      <c r="C19" s="31" t="s">
        <v>139</v>
      </c>
      <c r="D19" s="32">
        <v>29800</v>
      </c>
      <c r="E19" s="5">
        <v>29800</v>
      </c>
      <c r="F19" s="36">
        <f>D19-E19</f>
        <v>0</v>
      </c>
      <c r="G19" s="37">
        <f>F19</f>
        <v>0</v>
      </c>
    </row>
    <row r="20" s="2" customFormat="1" ht="25" customHeight="1" spans="1:8">
      <c r="A20" s="29" t="s">
        <v>140</v>
      </c>
      <c r="B20" s="30">
        <v>45677</v>
      </c>
      <c r="C20" s="31" t="s">
        <v>141</v>
      </c>
      <c r="D20" s="32">
        <v>110400</v>
      </c>
      <c r="E20" s="5">
        <v>110400</v>
      </c>
      <c r="F20" s="36">
        <f>D20-E20</f>
        <v>0</v>
      </c>
      <c r="G20" s="37">
        <f>F20</f>
        <v>0</v>
      </c>
    </row>
    <row r="21" s="3" customFormat="1" ht="25" customHeight="1" spans="1:8">
      <c r="A21" s="38" t="s">
        <v>131</v>
      </c>
      <c r="B21" s="39">
        <v>45726</v>
      </c>
      <c r="C21" s="40"/>
      <c r="D21" s="41">
        <v>19564.28</v>
      </c>
      <c r="E21" s="42">
        <v>19564.28</v>
      </c>
      <c r="F21" s="43">
        <f>SUM(D11,D21:D22)-SUM(E11,E21:E22)</f>
        <v>34379.11</v>
      </c>
      <c r="G21" s="44">
        <f>F21</f>
        <v>34379.11</v>
      </c>
      <c r="H21" s="2"/>
    </row>
    <row r="22" s="3" customFormat="1" ht="25" customHeight="1" spans="1:8">
      <c r="A22" s="38" t="s">
        <v>131</v>
      </c>
      <c r="B22" s="39">
        <v>45730</v>
      </c>
      <c r="C22" s="40"/>
      <c r="D22" s="41">
        <v>8384.59</v>
      </c>
      <c r="E22" s="42">
        <v>20653.88</v>
      </c>
      <c r="F22" s="43"/>
      <c r="G22" s="44"/>
      <c r="H22" s="2"/>
    </row>
    <row r="23" s="2" customFormat="1" ht="25" customHeight="1" spans="1:8">
      <c r="A23" s="56" t="s">
        <v>142</v>
      </c>
      <c r="B23" s="57">
        <v>45744</v>
      </c>
      <c r="C23" s="58" t="s">
        <v>143</v>
      </c>
      <c r="D23" s="26">
        <v>150100</v>
      </c>
      <c r="E23" s="26">
        <v>0</v>
      </c>
      <c r="F23" s="27">
        <f t="shared" ref="F23:F30" si="1">D23-E23</f>
        <v>150100</v>
      </c>
      <c r="G23" s="28">
        <f t="shared" ref="G23:G30" si="2">F23</f>
        <v>150100</v>
      </c>
    </row>
    <row r="24" s="2" customFormat="1" ht="25" customHeight="1" spans="1:8">
      <c r="A24" s="59" t="s">
        <v>144</v>
      </c>
      <c r="B24" s="4">
        <v>45799</v>
      </c>
      <c r="C24" s="2"/>
      <c r="D24" s="5">
        <v>7864.8</v>
      </c>
      <c r="E24" s="5">
        <v>7864.8</v>
      </c>
      <c r="F24" s="36">
        <f t="shared" si="1"/>
        <v>0</v>
      </c>
      <c r="G24" s="37">
        <f t="shared" si="2"/>
        <v>0</v>
      </c>
    </row>
    <row r="25" s="2" customFormat="1" ht="25" customHeight="1" spans="1:8">
      <c r="A25" s="56" t="s">
        <v>145</v>
      </c>
      <c r="B25" s="57">
        <v>45814</v>
      </c>
      <c r="C25" s="58" t="s">
        <v>146</v>
      </c>
      <c r="D25" s="26">
        <v>64800</v>
      </c>
      <c r="E25" s="26">
        <v>0</v>
      </c>
      <c r="F25" s="27">
        <f t="shared" si="1"/>
        <v>64800</v>
      </c>
      <c r="G25" s="28">
        <f t="shared" si="2"/>
        <v>64800</v>
      </c>
    </row>
    <row r="26" s="2" customFormat="1" ht="25" customHeight="1" spans="1:8">
      <c r="A26" s="59" t="s">
        <v>147</v>
      </c>
      <c r="B26" s="4">
        <v>45859</v>
      </c>
      <c r="C26" s="2" t="s">
        <v>148</v>
      </c>
      <c r="D26" s="5">
        <v>100000</v>
      </c>
      <c r="E26" s="5">
        <v>100000</v>
      </c>
      <c r="F26" s="36">
        <f t="shared" si="1"/>
        <v>0</v>
      </c>
      <c r="G26" s="37">
        <f t="shared" si="2"/>
        <v>0</v>
      </c>
    </row>
    <row r="27" s="2" customFormat="1" ht="25" customHeight="1" spans="1:8">
      <c r="A27" s="60" t="s">
        <v>142</v>
      </c>
      <c r="B27" s="61">
        <v>46007</v>
      </c>
      <c r="C27" s="3" t="s">
        <v>143</v>
      </c>
      <c r="D27" s="33">
        <v>118500</v>
      </c>
      <c r="E27" s="33">
        <v>118500</v>
      </c>
      <c r="F27" s="34">
        <f t="shared" si="1"/>
        <v>0</v>
      </c>
      <c r="G27" s="35">
        <f t="shared" si="2"/>
        <v>0</v>
      </c>
    </row>
    <row r="28" s="2" customFormat="1" ht="25" customHeight="1" spans="1:8">
      <c r="A28" s="62" t="s">
        <v>149</v>
      </c>
      <c r="B28" s="63">
        <v>46007</v>
      </c>
      <c r="C28" s="64" t="s">
        <v>150</v>
      </c>
      <c r="D28" s="65">
        <v>209000</v>
      </c>
      <c r="E28" s="65">
        <v>209000</v>
      </c>
      <c r="F28" s="66">
        <f t="shared" si="1"/>
        <v>0</v>
      </c>
      <c r="G28" s="67">
        <f t="shared" si="2"/>
        <v>0</v>
      </c>
    </row>
    <row r="29" s="2" customFormat="1" ht="25" customHeight="1" spans="1:8">
      <c r="A29" s="7">
        <v>2026</v>
      </c>
      <c r="B29" s="7"/>
      <c r="C29" s="7"/>
      <c r="D29" s="7"/>
      <c r="E29" s="7"/>
      <c r="F29" s="7"/>
      <c r="G29" s="7"/>
    </row>
    <row r="30" s="2" customFormat="1" ht="20" customHeight="1" spans="1:8">
      <c r="A30" s="9" t="s">
        <v>0</v>
      </c>
      <c r="B30" s="10" t="s">
        <v>1</v>
      </c>
      <c r="C30" s="11" t="s">
        <v>2</v>
      </c>
      <c r="D30" s="12" t="s">
        <v>3</v>
      </c>
      <c r="E30" s="12" t="s">
        <v>4</v>
      </c>
      <c r="F30" s="13" t="s">
        <v>5</v>
      </c>
      <c r="G30" s="14" t="s">
        <v>6</v>
      </c>
      <c r="H30" s="2" t="s">
        <v>8</v>
      </c>
    </row>
    <row r="31" ht="25" customHeight="1" spans="1:8">
      <c r="A31" s="3" t="s">
        <v>151</v>
      </c>
      <c r="B31" s="61">
        <v>46030</v>
      </c>
      <c r="C31" s="3" t="s">
        <v>152</v>
      </c>
      <c r="D31" s="33">
        <v>7000</v>
      </c>
      <c r="E31" s="33">
        <v>7000</v>
      </c>
      <c r="F31" s="34">
        <f t="shared" ref="F31:F37" si="3">D31-E31</f>
        <v>0</v>
      </c>
      <c r="G31" s="68">
        <f t="shared" ref="G31:G37" si="4">F31</f>
        <v>0</v>
      </c>
      <c r="H31" s="2">
        <f>SUM(E31:E36)</f>
        <v>327675</v>
      </c>
    </row>
    <row r="32" ht="25" customHeight="1" spans="1:8">
      <c r="A32" s="3" t="s">
        <v>134</v>
      </c>
      <c r="B32" s="61">
        <v>46030</v>
      </c>
      <c r="C32" s="3" t="s">
        <v>153</v>
      </c>
      <c r="D32" s="33">
        <v>154960</v>
      </c>
      <c r="E32" s="33">
        <v>154960</v>
      </c>
      <c r="F32" s="34">
        <f t="shared" si="3"/>
        <v>0</v>
      </c>
      <c r="G32" s="68">
        <f t="shared" si="4"/>
        <v>0</v>
      </c>
    </row>
    <row r="33" ht="25" customHeight="1" spans="1:7">
      <c r="A33" s="3" t="s">
        <v>147</v>
      </c>
      <c r="B33" s="61">
        <v>46037</v>
      </c>
      <c r="C33" s="3" t="s">
        <v>148</v>
      </c>
      <c r="D33" s="33">
        <v>37505</v>
      </c>
      <c r="E33" s="33">
        <v>37505</v>
      </c>
      <c r="F33" s="34">
        <f t="shared" si="3"/>
        <v>0</v>
      </c>
      <c r="G33" s="68">
        <f t="shared" si="4"/>
        <v>0</v>
      </c>
    </row>
    <row r="34" ht="25" customHeight="1" spans="1:7">
      <c r="A34" s="58" t="s">
        <v>90</v>
      </c>
      <c r="B34" s="57">
        <v>46037</v>
      </c>
      <c r="C34" s="58" t="s">
        <v>154</v>
      </c>
      <c r="D34" s="26">
        <v>175738</v>
      </c>
      <c r="E34" s="26">
        <v>100000</v>
      </c>
      <c r="F34" s="27">
        <f t="shared" si="3"/>
        <v>75738</v>
      </c>
      <c r="G34" s="69">
        <f t="shared" si="4"/>
        <v>75738</v>
      </c>
    </row>
    <row r="35" ht="25" customHeight="1" spans="1:7">
      <c r="A35" s="29" t="s">
        <v>124</v>
      </c>
      <c r="B35" s="30">
        <v>46055</v>
      </c>
      <c r="C35" s="31" t="s">
        <v>133</v>
      </c>
      <c r="D35" s="33">
        <v>28210</v>
      </c>
      <c r="E35" s="33">
        <v>28210</v>
      </c>
      <c r="F35" s="34">
        <f t="shared" si="3"/>
        <v>0</v>
      </c>
      <c r="G35" s="68">
        <f t="shared" si="4"/>
        <v>0</v>
      </c>
    </row>
    <row r="36" ht="25" customHeight="1" spans="1:7">
      <c r="A36" s="22" t="s">
        <v>90</v>
      </c>
      <c r="B36" s="23">
        <v>46064</v>
      </c>
      <c r="C36" s="24" t="s">
        <v>154</v>
      </c>
      <c r="D36" s="26">
        <v>13342</v>
      </c>
      <c r="E36" s="26">
        <v>0</v>
      </c>
      <c r="F36" s="27">
        <f t="shared" si="3"/>
        <v>13342</v>
      </c>
      <c r="G36" s="69">
        <f t="shared" si="4"/>
        <v>13342</v>
      </c>
    </row>
    <row r="37" ht="25" customHeight="1" spans="1:7">
      <c r="A37" s="58" t="s">
        <v>46</v>
      </c>
      <c r="B37" s="57">
        <v>46126</v>
      </c>
      <c r="C37" s="58" t="s">
        <v>155</v>
      </c>
      <c r="D37" s="26">
        <v>74025</v>
      </c>
      <c r="E37" s="26">
        <v>0</v>
      </c>
      <c r="F37" s="27">
        <f t="shared" si="3"/>
        <v>74025</v>
      </c>
      <c r="G37" s="69">
        <f t="shared" si="4"/>
        <v>74025</v>
      </c>
    </row>
    <row r="38" ht="25" customHeight="1"/>
    <row r="39" ht="25" customHeight="1"/>
    <row r="40" ht="25" customHeight="1"/>
    <row r="41" ht="25" customHeight="1"/>
    <row r="48" spans="1:7">
      <c r="A48" s="70"/>
    </row>
    <row r="49" spans="1:1">
      <c r="A49" s="70"/>
    </row>
    <row r="50" spans="1:1">
      <c r="A50" s="70"/>
    </row>
    <row r="51" spans="1:1">
      <c r="A51" s="70"/>
    </row>
    <row r="52" spans="1:1">
      <c r="A52" s="71"/>
    </row>
  </sheetData>
  <autoFilter xmlns:etc="http://www.wps.cn/officeDocument/2017/etCustomData" ref="A1:G52" etc:filterBottomFollowUsedRange="0">
    <extLst/>
  </autoFilter>
  <mergeCells count="19">
    <mergeCell ref="A1:G1"/>
    <mergeCell ref="A15:G15"/>
    <mergeCell ref="A29:G29"/>
    <mergeCell ref="A5:A7"/>
    <mergeCell ref="B5:B7"/>
    <mergeCell ref="C5:C7"/>
    <mergeCell ref="D5:D7"/>
    <mergeCell ref="E13:E14"/>
    <mergeCell ref="F5:F7"/>
    <mergeCell ref="F13:F14"/>
    <mergeCell ref="F17:F18"/>
    <mergeCell ref="F21:F22"/>
    <mergeCell ref="G5:G7"/>
    <mergeCell ref="G13:G14"/>
    <mergeCell ref="G17:G18"/>
    <mergeCell ref="G21:G22"/>
    <mergeCell ref="H3:H14"/>
    <mergeCell ref="H17:H28"/>
    <mergeCell ref="H31:H3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旭达</vt:lpstr>
      <vt:lpstr>毅兴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:）</cp:lastModifiedBy>
  <dcterms:created xsi:type="dcterms:W3CDTF">2023-05-12T11:15:00Z</dcterms:created>
  <dcterms:modified xsi:type="dcterms:W3CDTF">2026-04-20T10:21:03Z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32097C006FFC4529994E273689160E0D_12</vt:lpwstr>
  </property>
  <property fmtid="{D5CDD505-2E9C-101B-9397-08002B2CF9AE}" pid="4" name="CalculationRule">
    <vt:i4>0</vt:i4>
  </property>
</Properties>
</file>